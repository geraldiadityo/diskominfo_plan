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"/>
    </mc:Choice>
  </mc:AlternateContent>
  <xr:revisionPtr revIDLastSave="0" documentId="8_{CF237664-A129-074B-B4FD-65823BEC2BEF}" xr6:coauthVersionLast="47" xr6:coauthVersionMax="47" xr10:uidLastSave="{00000000-0000-0000-0000-000000000000}"/>
  <bookViews>
    <workbookView xWindow="4380" yWindow="3180" windowWidth="27640" windowHeight="16940" xr2:uid="{BD0CE630-A364-224D-A17C-3296DCC19A89}"/>
  </bookViews>
  <sheets>
    <sheet name="DATA PAD OKTOBER" sheetId="1" r:id="rId1"/>
  </sheets>
  <definedNames>
    <definedName name="_xlnm.Print_Area" localSheetId="0">'DATA PAD OKTOBER'!$A$1:$G$170</definedName>
    <definedName name="_xlnm.Print_Titles" localSheetId="0">'DATA PAD OKTOBER'!$4:$5</definedName>
    <definedName name="Z_B8B07BA9_5A07_4635_A1C2_7455F99B86F8_.wvu.PrintArea" localSheetId="0" hidden="1">'DATA PAD OKTOBER'!$A$1:$G$170</definedName>
    <definedName name="Z_E1C8DF74_F03A_462A_9F92_2C1F86D99A10_.wvu.PrintArea" localSheetId="0" hidden="1">'DATA PAD OKTOBER'!$A$1:$G$170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0" i="1" l="1"/>
  <c r="F169" i="1" s="1"/>
  <c r="E170" i="1"/>
  <c r="E169" i="1" s="1"/>
  <c r="E168" i="1" s="1"/>
  <c r="E167" i="1" s="1"/>
  <c r="E166" i="1" s="1"/>
  <c r="D169" i="1"/>
  <c r="D168" i="1" s="1"/>
  <c r="C169" i="1"/>
  <c r="C168" i="1"/>
  <c r="C167" i="1" s="1"/>
  <c r="C166" i="1" s="1"/>
  <c r="F165" i="1"/>
  <c r="E165" i="1"/>
  <c r="E164" i="1" s="1"/>
  <c r="E163" i="1" s="1"/>
  <c r="F164" i="1"/>
  <c r="D164" i="1"/>
  <c r="C164" i="1"/>
  <c r="C163" i="1" s="1"/>
  <c r="D163" i="1"/>
  <c r="F163" i="1" s="1"/>
  <c r="F162" i="1"/>
  <c r="E162" i="1"/>
  <c r="F161" i="1"/>
  <c r="E161" i="1"/>
  <c r="F160" i="1"/>
  <c r="E160" i="1"/>
  <c r="F159" i="1"/>
  <c r="E159" i="1"/>
  <c r="E157" i="1" s="1"/>
  <c r="E156" i="1" s="1"/>
  <c r="F158" i="1"/>
  <c r="E158" i="1"/>
  <c r="D157" i="1"/>
  <c r="F157" i="1" s="1"/>
  <c r="C157" i="1"/>
  <c r="C156" i="1" s="1"/>
  <c r="C155" i="1" s="1"/>
  <c r="D156" i="1"/>
  <c r="D155" i="1" s="1"/>
  <c r="F155" i="1" s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E141" i="1" s="1"/>
  <c r="F141" i="1"/>
  <c r="D141" i="1"/>
  <c r="C141" i="1"/>
  <c r="F140" i="1"/>
  <c r="E140" i="1"/>
  <c r="E139" i="1"/>
  <c r="E138" i="1" s="1"/>
  <c r="D139" i="1"/>
  <c r="D138" i="1" s="1"/>
  <c r="F138" i="1" s="1"/>
  <c r="C139" i="1"/>
  <c r="C138" i="1"/>
  <c r="F137" i="1"/>
  <c r="E137" i="1"/>
  <c r="F136" i="1"/>
  <c r="E136" i="1"/>
  <c r="F135" i="1"/>
  <c r="E135" i="1"/>
  <c r="F134" i="1"/>
  <c r="E134" i="1"/>
  <c r="F133" i="1"/>
  <c r="E133" i="1"/>
  <c r="E132" i="1" s="1"/>
  <c r="F132" i="1"/>
  <c r="D132" i="1"/>
  <c r="C132" i="1"/>
  <c r="F131" i="1"/>
  <c r="E131" i="1"/>
  <c r="E130" i="1"/>
  <c r="D130" i="1"/>
  <c r="D129" i="1" s="1"/>
  <c r="F129" i="1" s="1"/>
  <c r="C130" i="1"/>
  <c r="C129" i="1"/>
  <c r="F128" i="1"/>
  <c r="E128" i="1"/>
  <c r="E127" i="1" s="1"/>
  <c r="F127" i="1"/>
  <c r="D127" i="1"/>
  <c r="C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E119" i="1" s="1"/>
  <c r="F120" i="1"/>
  <c r="E120" i="1"/>
  <c r="D119" i="1"/>
  <c r="F119" i="1" s="1"/>
  <c r="C119" i="1"/>
  <c r="F118" i="1"/>
  <c r="E118" i="1"/>
  <c r="F117" i="1"/>
  <c r="E117" i="1"/>
  <c r="F116" i="1"/>
  <c r="E116" i="1"/>
  <c r="F115" i="1"/>
  <c r="E115" i="1"/>
  <c r="E114" i="1"/>
  <c r="D114" i="1"/>
  <c r="D113" i="1" s="1"/>
  <c r="F113" i="1" s="1"/>
  <c r="C114" i="1"/>
  <c r="C113" i="1"/>
  <c r="F112" i="1"/>
  <c r="E112" i="1"/>
  <c r="E111" i="1" s="1"/>
  <c r="E110" i="1" s="1"/>
  <c r="F111" i="1"/>
  <c r="D111" i="1"/>
  <c r="C111" i="1"/>
  <c r="D110" i="1"/>
  <c r="F110" i="1" s="1"/>
  <c r="C110" i="1"/>
  <c r="F109" i="1"/>
  <c r="E109" i="1"/>
  <c r="E108" i="1"/>
  <c r="D108" i="1"/>
  <c r="F108" i="1" s="1"/>
  <c r="C108" i="1"/>
  <c r="C107" i="1" s="1"/>
  <c r="C106" i="1" s="1"/>
  <c r="E107" i="1"/>
  <c r="D107" i="1"/>
  <c r="D106" i="1" s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E97" i="1" s="1"/>
  <c r="E96" i="1" s="1"/>
  <c r="E95" i="1" s="1"/>
  <c r="F97" i="1"/>
  <c r="D97" i="1"/>
  <c r="C97" i="1"/>
  <c r="D96" i="1"/>
  <c r="F96" i="1" s="1"/>
  <c r="C96" i="1"/>
  <c r="C95" i="1" s="1"/>
  <c r="F94" i="1"/>
  <c r="E94" i="1"/>
  <c r="E93" i="1"/>
  <c r="D93" i="1"/>
  <c r="F93" i="1" s="1"/>
  <c r="C93" i="1"/>
  <c r="F92" i="1"/>
  <c r="E92" i="1"/>
  <c r="F91" i="1"/>
  <c r="E91" i="1"/>
  <c r="E90" i="1"/>
  <c r="E89" i="1" s="1"/>
  <c r="D90" i="1"/>
  <c r="D89" i="1" s="1"/>
  <c r="F89" i="1" s="1"/>
  <c r="C90" i="1"/>
  <c r="C89" i="1"/>
  <c r="F88" i="1"/>
  <c r="E88" i="1"/>
  <c r="E87" i="1" s="1"/>
  <c r="E86" i="1" s="1"/>
  <c r="F87" i="1"/>
  <c r="D87" i="1"/>
  <c r="C87" i="1"/>
  <c r="D86" i="1"/>
  <c r="F86" i="1" s="1"/>
  <c r="C86" i="1"/>
  <c r="F85" i="1"/>
  <c r="E85" i="1"/>
  <c r="E84" i="1"/>
  <c r="D84" i="1"/>
  <c r="F84" i="1" s="1"/>
  <c r="C84" i="1"/>
  <c r="C83" i="1" s="1"/>
  <c r="E83" i="1"/>
  <c r="D83" i="1"/>
  <c r="F83" i="1" s="1"/>
  <c r="F82" i="1"/>
  <c r="E82" i="1"/>
  <c r="E81" i="1"/>
  <c r="E80" i="1" s="1"/>
  <c r="D81" i="1"/>
  <c r="F81" i="1" s="1"/>
  <c r="C81" i="1"/>
  <c r="C80" i="1" s="1"/>
  <c r="C79" i="1" s="1"/>
  <c r="F78" i="1"/>
  <c r="F77" i="1" s="1"/>
  <c r="F76" i="1" s="1"/>
  <c r="F75" i="1" s="1"/>
  <c r="E78" i="1"/>
  <c r="E77" i="1"/>
  <c r="D77" i="1"/>
  <c r="C77" i="1"/>
  <c r="C76" i="1" s="1"/>
  <c r="C75" i="1" s="1"/>
  <c r="E76" i="1"/>
  <c r="E75" i="1" s="1"/>
  <c r="D76" i="1"/>
  <c r="D75" i="1" s="1"/>
  <c r="F74" i="1"/>
  <c r="E74" i="1"/>
  <c r="E73" i="1" s="1"/>
  <c r="F73" i="1"/>
  <c r="D73" i="1"/>
  <c r="C73" i="1"/>
  <c r="F72" i="1"/>
  <c r="E72" i="1"/>
  <c r="F71" i="1"/>
  <c r="E71" i="1"/>
  <c r="D71" i="1"/>
  <c r="C71" i="1"/>
  <c r="F70" i="1"/>
  <c r="E70" i="1"/>
  <c r="F69" i="1"/>
  <c r="E69" i="1"/>
  <c r="D69" i="1"/>
  <c r="C69" i="1"/>
  <c r="F68" i="1"/>
  <c r="F67" i="1" s="1"/>
  <c r="E68" i="1"/>
  <c r="E67" i="1"/>
  <c r="D67" i="1"/>
  <c r="C67" i="1"/>
  <c r="F66" i="1"/>
  <c r="E66" i="1"/>
  <c r="E65" i="1" s="1"/>
  <c r="F65" i="1"/>
  <c r="D65" i="1"/>
  <c r="C65" i="1"/>
  <c r="F64" i="1"/>
  <c r="E64" i="1"/>
  <c r="F63" i="1"/>
  <c r="E63" i="1"/>
  <c r="E61" i="1" s="1"/>
  <c r="F62" i="1"/>
  <c r="E62" i="1"/>
  <c r="D61" i="1"/>
  <c r="F61" i="1" s="1"/>
  <c r="C61" i="1"/>
  <c r="C60" i="1" s="1"/>
  <c r="D60" i="1"/>
  <c r="F60" i="1" s="1"/>
  <c r="F59" i="1"/>
  <c r="E59" i="1"/>
  <c r="E58" i="1"/>
  <c r="D58" i="1"/>
  <c r="F58" i="1" s="1"/>
  <c r="C58" i="1"/>
  <c r="F57" i="1"/>
  <c r="E57" i="1"/>
  <c r="E56" i="1"/>
  <c r="D56" i="1"/>
  <c r="F56" i="1" s="1"/>
  <c r="C56" i="1"/>
  <c r="F55" i="1"/>
  <c r="E55" i="1"/>
  <c r="E52" i="1" s="1"/>
  <c r="E51" i="1" s="1"/>
  <c r="F54" i="1"/>
  <c r="E54" i="1"/>
  <c r="F53" i="1"/>
  <c r="E53" i="1"/>
  <c r="D52" i="1"/>
  <c r="F52" i="1" s="1"/>
  <c r="C52" i="1"/>
  <c r="C51" i="1" s="1"/>
  <c r="C50" i="1" s="1"/>
  <c r="F49" i="1"/>
  <c r="F48" i="1" s="1"/>
  <c r="F47" i="1" s="1"/>
  <c r="E49" i="1"/>
  <c r="E48" i="1"/>
  <c r="D48" i="1"/>
  <c r="C48" i="1"/>
  <c r="C47" i="1" s="1"/>
  <c r="E47" i="1"/>
  <c r="D47" i="1"/>
  <c r="F46" i="1"/>
  <c r="E46" i="1"/>
  <c r="F45" i="1"/>
  <c r="E45" i="1"/>
  <c r="E44" i="1" s="1"/>
  <c r="D45" i="1"/>
  <c r="D44" i="1" s="1"/>
  <c r="C45" i="1"/>
  <c r="C44" i="1" s="1"/>
  <c r="F44" i="1"/>
  <c r="F43" i="1"/>
  <c r="E43" i="1"/>
  <c r="F42" i="1"/>
  <c r="E42" i="1"/>
  <c r="E39" i="1" s="1"/>
  <c r="F41" i="1"/>
  <c r="E41" i="1"/>
  <c r="F40" i="1"/>
  <c r="E40" i="1"/>
  <c r="D39" i="1"/>
  <c r="F39" i="1" s="1"/>
  <c r="C39" i="1"/>
  <c r="F38" i="1"/>
  <c r="E38" i="1"/>
  <c r="E37" i="1"/>
  <c r="D37" i="1"/>
  <c r="F37" i="1" s="1"/>
  <c r="C37" i="1"/>
  <c r="F36" i="1"/>
  <c r="E36" i="1"/>
  <c r="E35" i="1" s="1"/>
  <c r="F35" i="1"/>
  <c r="D35" i="1"/>
  <c r="C35" i="1"/>
  <c r="F34" i="1"/>
  <c r="E34" i="1"/>
  <c r="E33" i="1"/>
  <c r="D33" i="1"/>
  <c r="F33" i="1" s="1"/>
  <c r="C33" i="1"/>
  <c r="F32" i="1"/>
  <c r="E32" i="1"/>
  <c r="E31" i="1"/>
  <c r="E30" i="1" s="1"/>
  <c r="D31" i="1"/>
  <c r="F31" i="1" s="1"/>
  <c r="C31" i="1"/>
  <c r="C30" i="1" s="1"/>
  <c r="F29" i="1"/>
  <c r="E29" i="1"/>
  <c r="E28" i="1"/>
  <c r="E27" i="1" s="1"/>
  <c r="D28" i="1"/>
  <c r="D27" i="1" s="1"/>
  <c r="F27" i="1" s="1"/>
  <c r="C28" i="1"/>
  <c r="C27" i="1"/>
  <c r="F26" i="1"/>
  <c r="E26" i="1"/>
  <c r="E25" i="1" s="1"/>
  <c r="E24" i="1" s="1"/>
  <c r="F25" i="1"/>
  <c r="D25" i="1"/>
  <c r="C25" i="1"/>
  <c r="D24" i="1"/>
  <c r="F24" i="1" s="1"/>
  <c r="C24" i="1"/>
  <c r="F23" i="1"/>
  <c r="E23" i="1"/>
  <c r="E22" i="1"/>
  <c r="D22" i="1"/>
  <c r="F22" i="1" s="1"/>
  <c r="C22" i="1"/>
  <c r="C21" i="1" s="1"/>
  <c r="E21" i="1"/>
  <c r="D21" i="1"/>
  <c r="F21" i="1" s="1"/>
  <c r="F20" i="1"/>
  <c r="E20" i="1"/>
  <c r="E19" i="1"/>
  <c r="E18" i="1" s="1"/>
  <c r="D19" i="1"/>
  <c r="F19" i="1" s="1"/>
  <c r="C19" i="1"/>
  <c r="C18" i="1" s="1"/>
  <c r="F17" i="1"/>
  <c r="E17" i="1"/>
  <c r="E16" i="1"/>
  <c r="D16" i="1"/>
  <c r="D9" i="1" s="1"/>
  <c r="C16" i="1"/>
  <c r="F15" i="1"/>
  <c r="E15" i="1"/>
  <c r="E14" i="1"/>
  <c r="D14" i="1"/>
  <c r="F14" i="1" s="1"/>
  <c r="C14" i="1"/>
  <c r="F13" i="1"/>
  <c r="E13" i="1"/>
  <c r="E12" i="1"/>
  <c r="D12" i="1"/>
  <c r="F12" i="1" s="1"/>
  <c r="C12" i="1"/>
  <c r="F11" i="1"/>
  <c r="E11" i="1"/>
  <c r="E10" i="1" s="1"/>
  <c r="E9" i="1" s="1"/>
  <c r="F10" i="1"/>
  <c r="D10" i="1"/>
  <c r="C10" i="1"/>
  <c r="C9" i="1"/>
  <c r="C8" i="1" s="1"/>
  <c r="F9" i="1" l="1"/>
  <c r="E60" i="1"/>
  <c r="E79" i="1"/>
  <c r="C7" i="1"/>
  <c r="C6" i="1" s="1"/>
  <c r="E50" i="1"/>
  <c r="D105" i="1"/>
  <c r="F105" i="1" s="1"/>
  <c r="F106" i="1"/>
  <c r="E8" i="1"/>
  <c r="E113" i="1"/>
  <c r="E106" i="1" s="1"/>
  <c r="E105" i="1" s="1"/>
  <c r="C105" i="1"/>
  <c r="E129" i="1"/>
  <c r="E155" i="1"/>
  <c r="D167" i="1"/>
  <c r="F168" i="1"/>
  <c r="D18" i="1"/>
  <c r="F18" i="1" s="1"/>
  <c r="D30" i="1"/>
  <c r="F30" i="1" s="1"/>
  <c r="D51" i="1"/>
  <c r="D80" i="1"/>
  <c r="D95" i="1"/>
  <c r="F95" i="1" s="1"/>
  <c r="F16" i="1"/>
  <c r="F90" i="1"/>
  <c r="F107" i="1"/>
  <c r="F114" i="1"/>
  <c r="F130" i="1"/>
  <c r="F139" i="1"/>
  <c r="F156" i="1"/>
  <c r="F28" i="1"/>
  <c r="D166" i="1" l="1"/>
  <c r="F166" i="1" s="1"/>
  <c r="F167" i="1"/>
  <c r="D8" i="1"/>
  <c r="D79" i="1"/>
  <c r="F79" i="1" s="1"/>
  <c r="F80" i="1"/>
  <c r="D50" i="1"/>
  <c r="F50" i="1" s="1"/>
  <c r="F51" i="1"/>
  <c r="E7" i="1"/>
  <c r="E6" i="1" s="1"/>
  <c r="F8" i="1" l="1"/>
  <c r="D7" i="1"/>
  <c r="F7" i="1" l="1"/>
  <c r="D6" i="1"/>
  <c r="F6" i="1" s="1"/>
</calcChain>
</file>

<file path=xl/sharedStrings.xml><?xml version="1.0" encoding="utf-8"?>
<sst xmlns="http://schemas.openxmlformats.org/spreadsheetml/2006/main" count="380" uniqueCount="331">
  <si>
    <t xml:space="preserve">LAPORAN REALISASI PENERIMAAN PENDAPATAN DAERAH </t>
  </si>
  <si>
    <t>KOTA SUNGAI PENUH 2026</t>
  </si>
  <si>
    <t>KODE REK.</t>
  </si>
  <si>
    <t>URAIAN</t>
  </si>
  <si>
    <t>+/-</t>
  </si>
  <si>
    <t>DINAS PENGELOLA</t>
  </si>
  <si>
    <t>Target (Rp)</t>
  </si>
  <si>
    <t>Realisasi (Rp)</t>
  </si>
  <si>
    <t>Rp</t>
  </si>
  <si>
    <t>%</t>
  </si>
  <si>
    <t>PENDAPATAN DAAERAH</t>
  </si>
  <si>
    <t>Realisasi PAD sampai 23 Oktober 2026</t>
  </si>
  <si>
    <t>4.1</t>
  </si>
  <si>
    <t>PENDAPATAN ASLI DAERAH</t>
  </si>
  <si>
    <t>4.1.01</t>
  </si>
  <si>
    <t>PENDAPATAN PAJAK DAERAH</t>
  </si>
  <si>
    <t>4.1.01.09</t>
  </si>
  <si>
    <t>Pajak Reklame</t>
  </si>
  <si>
    <t>BADAN PENDAPATAN DAERAH</t>
  </si>
  <si>
    <t>4.1.01.09.01</t>
  </si>
  <si>
    <t>Pajak Papan Merek/Bill Board/Megatron</t>
  </si>
  <si>
    <t>4.1.01.09.01.00001</t>
  </si>
  <si>
    <t>4.1.01.09.02</t>
  </si>
  <si>
    <t>Pajak Spanduk/Reklame Kain</t>
  </si>
  <si>
    <t>4.1.01.09.02.00001</t>
  </si>
  <si>
    <t>4.1.01.09.03</t>
  </si>
  <si>
    <t>Pajak Reklame Melekat/Stiker</t>
  </si>
  <si>
    <t>4.1.01.09.03.00001</t>
  </si>
  <si>
    <t>4.1.01.09.05</t>
  </si>
  <si>
    <t>Pajak Reklame Berjalan</t>
  </si>
  <si>
    <t>4.1.01.09.05.00001</t>
  </si>
  <si>
    <t>4.1.01.12</t>
  </si>
  <si>
    <t>Pajak Air Tanah</t>
  </si>
  <si>
    <t>4.1.01.12.01</t>
  </si>
  <si>
    <t>4.1.01.12.01.00001</t>
  </si>
  <si>
    <t>Pajak Air Bawah Tanah</t>
  </si>
  <si>
    <t>4.1.01.14</t>
  </si>
  <si>
    <t>Pajak Mineral Bukan Logam dan Batuan</t>
  </si>
  <si>
    <t>4.1.01.14.37</t>
  </si>
  <si>
    <t>4.1.01.14.37.00001</t>
  </si>
  <si>
    <t>Pajak Mineral bukan Logam dan Batuan Lainnya</t>
  </si>
  <si>
    <t>4.1.01.15</t>
  </si>
  <si>
    <t>Pajak Bumi dan Bangunan Perdesaan dan Perkotaan (PBBP2)</t>
  </si>
  <si>
    <t>4.1.01.15.01</t>
  </si>
  <si>
    <t>4.1.01.15.01.00001</t>
  </si>
  <si>
    <t>Pajak Bumi dan Bangungan (PBB)</t>
  </si>
  <si>
    <t>4.1.01.16</t>
  </si>
  <si>
    <t>Pajak BPHTB (Pemindahan Hak)</t>
  </si>
  <si>
    <t>4.1.01.16.01</t>
  </si>
  <si>
    <t>4.1.01.16.01.00001</t>
  </si>
  <si>
    <t>4.1.01.19</t>
  </si>
  <si>
    <t>Pajak Barang dan Jasa Tertentu (PBJT)</t>
  </si>
  <si>
    <t>4.1.01.19.01</t>
  </si>
  <si>
    <t>PBJT-Makanan dan/atau Minuman</t>
  </si>
  <si>
    <t>4.1.01.19.01.00001</t>
  </si>
  <si>
    <t>PBJT  Restoran</t>
  </si>
  <si>
    <t>4.1.01.19.02</t>
  </si>
  <si>
    <t>PBJT-Tenaga Listrik</t>
  </si>
  <si>
    <t>4.1.01.19.02.00001</t>
  </si>
  <si>
    <t>PBJT Konsumsi Tenaga Listrik</t>
  </si>
  <si>
    <t>4.1.01.19.03</t>
  </si>
  <si>
    <t>PBJT-Jasa Perhotelan</t>
  </si>
  <si>
    <t>4.1.01.19.03.00001</t>
  </si>
  <si>
    <t>PBJT Hotel</t>
  </si>
  <si>
    <t>4.1.01.19.04</t>
  </si>
  <si>
    <t>PBJT-Jasa Parkir</t>
  </si>
  <si>
    <t>4.1.01.19.04.00001</t>
  </si>
  <si>
    <t>PBJT Penyediaan dan Penyelenggaraan Tempat Parkir</t>
  </si>
  <si>
    <t>4.1.01.19.05</t>
  </si>
  <si>
    <t>PBJT-Jasa Kesenian dan Hiburan</t>
  </si>
  <si>
    <t>4.1.01.19.05.00008</t>
  </si>
  <si>
    <t>PBJT Permainan Ketangkasan</t>
  </si>
  <si>
    <t>4.1.01.19.05.00009</t>
  </si>
  <si>
    <t>PBJT Olahraga Menggunakan Tempat / Peralatan dan Perlengkapan untuk Kebugaran</t>
  </si>
  <si>
    <t>4.1.01.19.05.00010</t>
  </si>
  <si>
    <t>PBJT Retkreasi Wahana Air, Wahana Permainan, Agro Wisata, Dll</t>
  </si>
  <si>
    <t>4.1.01.19.05.00012</t>
  </si>
  <si>
    <t>PBJT Diskotek, Karaoke, Kelab Malam, Bar, Mandi Uap / Spa</t>
  </si>
  <si>
    <t>4.1.01.20</t>
  </si>
  <si>
    <t>Opsen Pajak Kendaraan Bermotor (PKB)</t>
  </si>
  <si>
    <t>4.1.01.20.01</t>
  </si>
  <si>
    <t>OPSEN PKB</t>
  </si>
  <si>
    <t>4.1.01.20.01.00001</t>
  </si>
  <si>
    <t>4.1.01.21</t>
  </si>
  <si>
    <t>Opsen Bea Balik Nama Kendaraan Bermotor (BBNKB)</t>
  </si>
  <si>
    <t>4.1.01.21.01</t>
  </si>
  <si>
    <t>OPSEN BBNKB</t>
  </si>
  <si>
    <t>4.1.01.21.01.00001</t>
  </si>
  <si>
    <t>4.1.2</t>
  </si>
  <si>
    <t>RETRIBUSI DAERAH</t>
  </si>
  <si>
    <t>4.1.02.01</t>
  </si>
  <si>
    <t>Retribusi Jasa Umum</t>
  </si>
  <si>
    <t>4.1.02.01.01</t>
  </si>
  <si>
    <t>Retribusi Pelayanan Kesehatan</t>
  </si>
  <si>
    <t>DINAS KESEHATAN</t>
  </si>
  <si>
    <t>4.1.02.01.01.00001</t>
  </si>
  <si>
    <t>Retribusi Peleyanan Kesehatan Puskesmas</t>
  </si>
  <si>
    <t>4.1.02.01.01.00005</t>
  </si>
  <si>
    <t>Retribusi Pelayanan Kesehatan Rumah Sakit Umum Daerah</t>
  </si>
  <si>
    <t>4.1.02.01.01.00006</t>
  </si>
  <si>
    <t>Retribusi Pelayanan Kesehatan di Tempat Pelayanan Kesehatan Lainnya yang Sejenis</t>
  </si>
  <si>
    <t>4.1.02.01.02</t>
  </si>
  <si>
    <t>Retrebusi Pelayanan Persampahan/Kebersihan</t>
  </si>
  <si>
    <t>4.1.02.01.02.00001</t>
  </si>
  <si>
    <t>DINAS LINGKUNGAN HIDUP</t>
  </si>
  <si>
    <t>4.1.02.01.04</t>
  </si>
  <si>
    <t>Retribusi Pelayanan Parkir di Tepi Jalan Umum</t>
  </si>
  <si>
    <t>4.1.02.01.04.00001</t>
  </si>
  <si>
    <t>Retrebusi Pelayanan Parkir Ditepi Jalan Umum</t>
  </si>
  <si>
    <t>DINAS PERHUBUNGAN</t>
  </si>
  <si>
    <t>4.1.02.02</t>
  </si>
  <si>
    <t>Retribusi Jasa Usaha</t>
  </si>
  <si>
    <t>4.1.02.02.01</t>
  </si>
  <si>
    <t>Retrebusi Pemakaian Kekayaan Daerah</t>
  </si>
  <si>
    <t>4.1.02.02.01.00001</t>
  </si>
  <si>
    <t>Retribusi Penyewaan Tanah dan Bangunan (Bakeuda)</t>
  </si>
  <si>
    <t>4.1.02.02.01.00003</t>
  </si>
  <si>
    <t>Retribusi Penyewaan Bangunan (Setda Bag. Umum)</t>
  </si>
  <si>
    <t>SETDA BAGIAN UMUM</t>
  </si>
  <si>
    <t>4.1.02.02.01.00007</t>
  </si>
  <si>
    <t>Retribusi Pemakaian Alat (PU)</t>
  </si>
  <si>
    <t>DINAS PEKERJAAN UMUM DAN PERUMAHAN RAKYAT</t>
  </si>
  <si>
    <t>4.1.02.02.02</t>
  </si>
  <si>
    <t>Retribusi Pasar Grosir dan / atau Pertokoan</t>
  </si>
  <si>
    <t>4.1.02.02.02.00002</t>
  </si>
  <si>
    <t>Retribusi Penyediaan Fasilitas Pasar Grosir Berbagai Jenis Barang yang Dikontrakkan</t>
  </si>
  <si>
    <t>DINAS PERDAGANGAN DAN PERINDUSTRIAN</t>
  </si>
  <si>
    <t>4.1.02.02.05</t>
  </si>
  <si>
    <t>Retribusi Tempat Khusus Parkir</t>
  </si>
  <si>
    <t>4.1.02.02.05.01</t>
  </si>
  <si>
    <t>Retribusi Pelayanan Tempat Khusus Parkir</t>
  </si>
  <si>
    <t>4.1.02.02.07</t>
  </si>
  <si>
    <t>Retribusi Rumah Potong Hewan</t>
  </si>
  <si>
    <t>4.1.02.02.07.00001</t>
  </si>
  <si>
    <t>Retribusi Pelayanan Rumah Potong Hewan</t>
  </si>
  <si>
    <t>DINAS PERTANIAN, KETAHANAN PANGAN DAN PERIKANAN</t>
  </si>
  <si>
    <t>4.1.02.02.09</t>
  </si>
  <si>
    <t>Retribusi Tempat Rekreasi dan Olahraga</t>
  </si>
  <si>
    <t>4.1.02.02.09.00001</t>
  </si>
  <si>
    <t>Retribusi Pelayanan Tempat Rekreasi dan Olahraga</t>
  </si>
  <si>
    <t>DISBUDPARPORA</t>
  </si>
  <si>
    <t>4.1.02.03</t>
  </si>
  <si>
    <t>Retribusi Perizinan Tertentu</t>
  </si>
  <si>
    <t>4.1.02.03.01.00001</t>
  </si>
  <si>
    <t>Retribusi Persetujuan Bangunan Gedung</t>
  </si>
  <si>
    <t>4.1.3</t>
  </si>
  <si>
    <t>HASIL PENGELOLAAN KEKAYAAN DAERAH YANG DIPISAHKAN</t>
  </si>
  <si>
    <t>4.1.03.02.</t>
  </si>
  <si>
    <t>Bagian Laba yang Dibagikan kepada Pemerintah Daerah (Dividen) atas Penyertaan Modal pada BUMD</t>
  </si>
  <si>
    <t>4.1.03.02.01</t>
  </si>
  <si>
    <t>Bagian Laba yang Dibagikan kepada Pemerintah Daerah (Dividen) atas Penyertaan Modal pada BUMD (Lembaga Keuangan)</t>
  </si>
  <si>
    <t>4.1.03.02.01.00001</t>
  </si>
  <si>
    <t>BADAN KEUANGAN DAN ASET DAERAH</t>
  </si>
  <si>
    <t>4.1.4</t>
  </si>
  <si>
    <t>LAIN-LAIN PAD YG SAH</t>
  </si>
  <si>
    <t>4.1.04.01</t>
  </si>
  <si>
    <t>Hasil Penjualan BMD yang Tidak Dipisahkan</t>
  </si>
  <si>
    <t>4.1.04.01.08</t>
  </si>
  <si>
    <t>Hasil Penjualan Aset Lain-Lain</t>
  </si>
  <si>
    <t>4.1.04.01.08.01</t>
  </si>
  <si>
    <t>Hasil Penjualan Aset Lain-Lain-Aset Lain-Lain-Aset Rusak Berat/Usang</t>
  </si>
  <si>
    <t>4.1.04.05</t>
  </si>
  <si>
    <t>Jasa Giro</t>
  </si>
  <si>
    <t>4.1.04.05.01</t>
  </si>
  <si>
    <t>Jasa Giro pada Kas Daerah</t>
  </si>
  <si>
    <t>4.1.04.05.01.00001</t>
  </si>
  <si>
    <t>Jasa Giro Kas Daerah</t>
  </si>
  <si>
    <t>4.1.04.07</t>
  </si>
  <si>
    <t>Pendapatan Bunga</t>
  </si>
  <si>
    <t>4.1.04.07.01</t>
  </si>
  <si>
    <t>Pendapatan Bunga atas Penempatan Uang Pemerintah Daerah</t>
  </si>
  <si>
    <t>4.1.04.07.01.00001</t>
  </si>
  <si>
    <t>Pendapatan Bunga Atas Penempatan Uang Pemerintah Daerah</t>
  </si>
  <si>
    <t>4.1.04.15</t>
  </si>
  <si>
    <t>Pendapatan dari Pengembalian</t>
  </si>
  <si>
    <t>4.1.04.15.04</t>
  </si>
  <si>
    <t>Pendapatan dari Pengembalian Kelebihan Pembayaran Perjalanan Dinas</t>
  </si>
  <si>
    <t>4.1.04.15.04.00001</t>
  </si>
  <si>
    <t>Pendapatan Pengembalian Kelebihan Pembayaran Perjalanan Dinas Dalam Negeri (Dinas Biasa)</t>
  </si>
  <si>
    <t>4.1.04.15.04.00002</t>
  </si>
  <si>
    <t>Pendapatan Pengembalian Kelebihan Pembayaran Perjalanan Dinas Dalam Negeri (Dinas Tetap)</t>
  </si>
  <si>
    <t>4.1.04.15.08</t>
  </si>
  <si>
    <t>Pendapatan dari Pengembalian Kelebihan Pembayaran Belanja Gaji dan Tunjangan ASN</t>
  </si>
  <si>
    <t>4.1.04.15.08.00001</t>
  </si>
  <si>
    <t>Pendapatan dari Pengembalian Kelebihan Pembayaran Belanja Gaji Pokok ASN-Gaji Pokok PNS</t>
  </si>
  <si>
    <t>4.1.04.16</t>
  </si>
  <si>
    <t>Pendapatan BLUD</t>
  </si>
  <si>
    <t>4.1.04.16.02</t>
  </si>
  <si>
    <t>Pendapatan BLUD dari Jasa Layanan</t>
  </si>
  <si>
    <t>4.1.04.16.02.00001</t>
  </si>
  <si>
    <t>Rumah Sakit Umum H.A Thalib</t>
  </si>
  <si>
    <t>RUMAH SAKIT UMUM H.A THALIB</t>
  </si>
  <si>
    <t>Puskesmas Tanah Kampung</t>
  </si>
  <si>
    <t>PUSKESMAS TANAH KAMPUNG</t>
  </si>
  <si>
    <t>Puskesmas Koto Baru</t>
  </si>
  <si>
    <t>PUSKESMAS KOTO BARU</t>
  </si>
  <si>
    <t>Puskesmas Desa Gedang</t>
  </si>
  <si>
    <t>PUSKESMAS DESA GEDANG</t>
  </si>
  <si>
    <t>Puskesmas Rawang</t>
  </si>
  <si>
    <t>PUSKESMAS RAWANG</t>
  </si>
  <si>
    <t>Puskesmas Kumun</t>
  </si>
  <si>
    <t>PUSKESMAS KUMUN</t>
  </si>
  <si>
    <t>Puskesmas Sungai Penuh</t>
  </si>
  <si>
    <t>PUSKESMAS SUNGAI PENUH</t>
  </si>
  <si>
    <t>4.2</t>
  </si>
  <si>
    <t>PENDAPATAN TRANSFER</t>
  </si>
  <si>
    <t>4.2.01</t>
  </si>
  <si>
    <t>Pendapatan Transfer Pemerintah Pusat</t>
  </si>
  <si>
    <t>4.2.01.05</t>
  </si>
  <si>
    <t>Dana Desa</t>
  </si>
  <si>
    <t>4.2.01.05.001</t>
  </si>
  <si>
    <t>4.2.01.05.001.00001</t>
  </si>
  <si>
    <t>4.2.01.06</t>
  </si>
  <si>
    <t>Insentif Fiskal</t>
  </si>
  <si>
    <t>4.2.01.06.003</t>
  </si>
  <si>
    <t>Insentif Fiskal Untuk Penghargaan Kinerja Tahun Berjalan</t>
  </si>
  <si>
    <t>4.2.01.06.003.00001</t>
  </si>
  <si>
    <t>4.2.01.07</t>
  </si>
  <si>
    <t>Dana Bagi Hasil (DBH)</t>
  </si>
  <si>
    <t>4.2.01.07.001</t>
  </si>
  <si>
    <t>DBH Pajak</t>
  </si>
  <si>
    <t>4.2.01.07.001.00001</t>
  </si>
  <si>
    <t>DBH PBB</t>
  </si>
  <si>
    <t>4.2.01.07.001.00002</t>
  </si>
  <si>
    <t>DBH PPh Pasal 21</t>
  </si>
  <si>
    <t>4.2.01.07.001.00003</t>
  </si>
  <si>
    <t>DBH PPh Pasal 25 dan Pasal 29/WPOPDN</t>
  </si>
  <si>
    <t>4.2.01.07.001.00004</t>
  </si>
  <si>
    <t>DBH Cukai Hasil Tembakau (CHT)</t>
  </si>
  <si>
    <t>4.2.01.07.002</t>
  </si>
  <si>
    <t>DBH Sumber Daya Alam (SDA)</t>
  </si>
  <si>
    <t>4.2.01.07.002.00001</t>
  </si>
  <si>
    <t>DBH SDA Minyak Bumi</t>
  </si>
  <si>
    <t>4.2.01.07.002.00002</t>
  </si>
  <si>
    <t>DBH SDA Gas Bumi</t>
  </si>
  <si>
    <t>4.2.01.07.002.00004</t>
  </si>
  <si>
    <t>DBH SDA Mineral dan Batubara-Landrent</t>
  </si>
  <si>
    <t>4.2.01.07.002.00005</t>
  </si>
  <si>
    <t>DBH SDA Mineral dan Batubara-Royalty</t>
  </si>
  <si>
    <t>4.2.01.07.002.00006</t>
  </si>
  <si>
    <t>DBH SDA Kehutanan-Provisi Sumber Daya Hutan (PSDH)</t>
  </si>
  <si>
    <t>4.2.01.07.002.00008</t>
  </si>
  <si>
    <t>DBH SDA Kehutanan-Dana Reboisasi (DR)</t>
  </si>
  <si>
    <t>4.2.01.07.002.00009</t>
  </si>
  <si>
    <t>DBH SDA Perikanan</t>
  </si>
  <si>
    <t>4.2.01.07.003</t>
  </si>
  <si>
    <t>DBH Lainnya</t>
  </si>
  <si>
    <t>4.2.01.07.003.00001</t>
  </si>
  <si>
    <t>DBH Sawit</t>
  </si>
  <si>
    <t>4.2.01.08</t>
  </si>
  <si>
    <t>Dana Alokasi Umum (DAU)</t>
  </si>
  <si>
    <t>4.2.01.08.001</t>
  </si>
  <si>
    <t>DAU yang Tidak Ditentukan Penggunaannya</t>
  </si>
  <si>
    <t>4.2.01.08.001.00001</t>
  </si>
  <si>
    <t>DAU</t>
  </si>
  <si>
    <t>4.2.01.08.002</t>
  </si>
  <si>
    <t>DAU yang Ditentukan Penggunaannya</t>
  </si>
  <si>
    <t>4.2.01.08.002.00001</t>
  </si>
  <si>
    <t>DAU Tambahan Dukungan Pendanaan Kelurahan</t>
  </si>
  <si>
    <t>4.2.01.08.002.00003</t>
  </si>
  <si>
    <t>DAU Tambahan Dukungan Pendanaan atas Kebijakan Penggajian Pegawai Pemerintah dengan Perjanjian Kerja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</si>
  <si>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</si>
  <si>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</si>
  <si>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</si>
  <si>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</si>
  <si>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4.2.01.08.002.00006</t>
  </si>
  <si>
    <t>DAU yang Ditentukan Penggunaannya Bidang Pekerjaan Umum</t>
  </si>
  <si>
    <t>4.2.01.09</t>
  </si>
  <si>
    <t>Dana Alokasi Khusus (DAK)</t>
  </si>
  <si>
    <t>4.2.01.09.001</t>
  </si>
  <si>
    <t>DAK Fisik</t>
  </si>
  <si>
    <t>4.2.01.09.001.00013</t>
  </si>
  <si>
    <t>DAK Fisik-Bidang Kesehatan dan KB-Reguler-Pelayanan Kesehatan Dasar</t>
  </si>
  <si>
    <t>4.2.01.09.002</t>
  </si>
  <si>
    <t>DAK Non Fisik</t>
  </si>
  <si>
    <t>4.2.01.09.002.00001</t>
  </si>
  <si>
    <t>DAK Non Fisik-BOS Reguler</t>
  </si>
  <si>
    <t>4.2.01.09.002.00003</t>
  </si>
  <si>
    <t>DAK Non Fisik-BOS Kinerja</t>
  </si>
  <si>
    <t>4.2.01.09.002.00004</t>
  </si>
  <si>
    <t>DAK Non Fisik-TPG PNSD</t>
  </si>
  <si>
    <t>4.2.01.09.002.00005</t>
  </si>
  <si>
    <t>DAK Non Fisik-Tamsil Guru PNSD</t>
  </si>
  <si>
    <t>4.2.01.09.002.00007</t>
  </si>
  <si>
    <t>DAK Non Fisik-BOP PAUD</t>
  </si>
  <si>
    <t>4.2.01.09.002.00008</t>
  </si>
  <si>
    <t>DAK Non Fisik-BOP Pendidikan Kesetaraan</t>
  </si>
  <si>
    <t>4.2.01.09.002.00012</t>
  </si>
  <si>
    <t>DAK Non Fisik-BOKKB-Pengawasan Obat dan Makanan</t>
  </si>
  <si>
    <t>4.2.01.09.002.00021</t>
  </si>
  <si>
    <t>DAK Non Fisik-BOKB-KB</t>
  </si>
  <si>
    <t>4.2.01.09.002.00022</t>
  </si>
  <si>
    <t>DAK Non Fisik-Dana Pelayanan Perlindungan Perempuan dan Anak</t>
  </si>
  <si>
    <t>4.2.01.09.002.00023</t>
  </si>
  <si>
    <t>DAK Non Fisik-Dana Ketahanan Pangan dan Pertanian</t>
  </si>
  <si>
    <t>4.2.01.09.002.00033</t>
  </si>
  <si>
    <t>DAK Non Fisik-Dana BOK-BOK Dinas-BOK Kabupaten/Kota</t>
  </si>
  <si>
    <t>4.2.01.09.002.00035</t>
  </si>
  <si>
    <t>DAK Non Fisik-Dana BOK-BOK Puskesmas</t>
  </si>
  <si>
    <t>4.2.01.09.002.00041</t>
  </si>
  <si>
    <t>DAK Non Fisik-Dana Bantuan Pengembangan Program Perpustakaan Daerah</t>
  </si>
  <si>
    <t>4.2.02</t>
  </si>
  <si>
    <t>Pendapatan Transfer Antar Daerah</t>
  </si>
  <si>
    <t>4.2.02.01</t>
  </si>
  <si>
    <t>Pendapatan Bagi Hasil</t>
  </si>
  <si>
    <t>4.2.02.01.001</t>
  </si>
  <si>
    <t>Pendapatan Bagi Hasil Pajak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</si>
  <si>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</si>
  <si>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</si>
  <si>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</si>
  <si>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</si>
  <si>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</si>
  <si>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</si>
  <si>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</si>
  <si>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</si>
  <si>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</si>
  <si>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</si>
  <si>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4.2.02.02</t>
  </si>
  <si>
    <t>Bantuan Keuangan</t>
  </si>
  <si>
    <t>4.2.02.02.001</t>
  </si>
  <si>
    <t>Bantuan Keuangan Umum dari Pemerintah Provinsi</t>
  </si>
  <si>
    <t>4.2.02.02.001.00001</t>
  </si>
  <si>
    <t>Bantuan Keuangan Umum dari Pemerintah Daerah Provinsi</t>
  </si>
  <si>
    <t>4.3</t>
  </si>
  <si>
    <t>LAIN-LAIN PENDAPATAN DAERAH YANG SAH</t>
  </si>
  <si>
    <t>4.3.03</t>
  </si>
  <si>
    <t>Lain-lain Pendapatan Sesuai dengan Ketentuan Peraturan Perundang-Undangan</t>
  </si>
  <si>
    <t>4.3.03.02</t>
  </si>
  <si>
    <t>Pendapatan Dana Kapitasi JKN pada FKTP</t>
  </si>
  <si>
    <t>4.3.03.02.001</t>
  </si>
  <si>
    <t>4.3.03.02.001.0001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</si>
</sst>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-* #,##0.00_-;\-* #,##0.00_-;_-* &quot;-&quot;??_-;_-@_-"/>
    <numFmt numFmtId="166" formatCode="#,##0.00;\(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name val="Cambria"/>
      <family val="1"/>
    </font>
    <font>
      <b/>
      <sz val="14"/>
      <name val="Book Antiqua"/>
      <family val="1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ambria"/>
      <family val="1"/>
    </font>
    <font>
      <sz val="8"/>
      <name val="Cambria"/>
      <family val="1"/>
    </font>
    <font>
      <u/>
      <sz val="11"/>
      <color indexed="12"/>
      <name val="Calibri"/>
      <family val="2"/>
      <charset val="1"/>
    </font>
    <font>
      <u/>
      <sz val="11"/>
      <color indexed="12"/>
      <name val="Cambria"/>
      <family val="1"/>
    </font>
    <font>
      <b/>
      <sz val="11"/>
      <color theme="0"/>
      <name val="Cambria"/>
      <family val="1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u/>
      <sz val="11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b/>
      <sz val="8"/>
      <name val="Cambria"/>
      <family val="1"/>
    </font>
    <font>
      <b/>
      <u/>
      <sz val="10"/>
      <name val="Cambria"/>
      <family val="1"/>
    </font>
    <font>
      <b/>
      <u/>
      <sz val="10"/>
      <color theme="1"/>
      <name val="Cambria"/>
      <family val="1"/>
    </font>
    <font>
      <sz val="16"/>
      <name val="Cambria"/>
      <family val="1"/>
    </font>
    <font>
      <u/>
      <sz val="16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4471C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11" fillId="0" borderId="0" applyFont="0" applyFill="0" applyBorder="0" applyAlignment="0" applyProtection="0"/>
    <xf numFmtId="0" fontId="1" fillId="0" borderId="0"/>
    <xf numFmtId="0" fontId="4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5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2" applyFont="1" applyAlignment="1">
      <alignment horizontal="center"/>
    </xf>
    <xf numFmtId="0" fontId="2" fillId="0" borderId="0" xfId="2" applyFont="1"/>
    <xf numFmtId="164" fontId="3" fillId="0" borderId="0" xfId="2" applyNumberFormat="1" applyFont="1"/>
    <xf numFmtId="0" fontId="3" fillId="0" borderId="0" xfId="2" applyFont="1"/>
    <xf numFmtId="0" fontId="4" fillId="0" borderId="0" xfId="3"/>
    <xf numFmtId="41" fontId="4" fillId="0" borderId="0" xfId="4" applyFont="1"/>
    <xf numFmtId="0" fontId="6" fillId="0" borderId="0" xfId="3" applyFont="1"/>
    <xf numFmtId="0" fontId="7" fillId="0" borderId="0" xfId="3" applyFont="1"/>
    <xf numFmtId="0" fontId="9" fillId="0" borderId="0" xfId="5" applyFont="1" applyAlignment="1" applyProtection="1">
      <alignment horizontal="right"/>
    </xf>
    <xf numFmtId="164" fontId="6" fillId="0" borderId="0" xfId="4" applyNumberFormat="1" applyFont="1"/>
    <xf numFmtId="0" fontId="10" fillId="2" borderId="1" xfId="3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164" fontId="12" fillId="2" borderId="0" xfId="4" applyNumberFormat="1" applyFont="1" applyFill="1"/>
    <xf numFmtId="0" fontId="12" fillId="2" borderId="0" xfId="3" applyFont="1" applyFill="1"/>
    <xf numFmtId="41" fontId="12" fillId="2" borderId="0" xfId="4" applyFont="1" applyFill="1"/>
    <xf numFmtId="0" fontId="10" fillId="2" borderId="1" xfId="0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left" vertical="center" wrapText="1"/>
    </xf>
    <xf numFmtId="165" fontId="13" fillId="3" borderId="1" xfId="0" applyNumberFormat="1" applyFont="1" applyFill="1" applyBorder="1" applyAlignment="1">
      <alignment horizontal="left" vertical="center"/>
    </xf>
    <xf numFmtId="10" fontId="13" fillId="3" borderId="1" xfId="1" applyNumberFormat="1" applyFont="1" applyFill="1" applyBorder="1"/>
    <xf numFmtId="0" fontId="13" fillId="3" borderId="1" xfId="3" applyFont="1" applyFill="1" applyBorder="1" applyAlignment="1">
      <alignment horizontal="left" vertical="center"/>
    </xf>
    <xf numFmtId="164" fontId="14" fillId="3" borderId="0" xfId="4" applyNumberFormat="1" applyFont="1" applyFill="1" applyAlignment="1">
      <alignment horizontal="left"/>
    </xf>
    <xf numFmtId="0" fontId="14" fillId="3" borderId="0" xfId="3" applyFont="1" applyFill="1" applyAlignment="1">
      <alignment horizontal="left"/>
    </xf>
    <xf numFmtId="41" fontId="14" fillId="3" borderId="0" xfId="4" applyFont="1" applyFill="1" applyAlignment="1">
      <alignment horizontal="left"/>
    </xf>
    <xf numFmtId="0" fontId="13" fillId="4" borderId="1" xfId="3" applyFont="1" applyFill="1" applyBorder="1"/>
    <xf numFmtId="0" fontId="15" fillId="4" borderId="1" xfId="3" applyFont="1" applyFill="1" applyBorder="1" applyAlignment="1">
      <alignment horizontal="left"/>
    </xf>
    <xf numFmtId="43" fontId="13" fillId="4" borderId="1" xfId="3" applyNumberFormat="1" applyFont="1" applyFill="1" applyBorder="1"/>
    <xf numFmtId="10" fontId="13" fillId="4" borderId="1" xfId="1" applyNumberFormat="1" applyFont="1" applyFill="1" applyBorder="1"/>
    <xf numFmtId="0" fontId="13" fillId="4" borderId="1" xfId="3" applyFont="1" applyFill="1" applyBorder="1" applyAlignment="1">
      <alignment vertical="center" wrapText="1"/>
    </xf>
    <xf numFmtId="164" fontId="14" fillId="4" borderId="0" xfId="4" applyNumberFormat="1" applyFont="1" applyFill="1"/>
    <xf numFmtId="43" fontId="14" fillId="4" borderId="0" xfId="3" applyNumberFormat="1" applyFont="1" applyFill="1"/>
    <xf numFmtId="41" fontId="14" fillId="4" borderId="0" xfId="4" applyFont="1" applyFill="1"/>
    <xf numFmtId="0" fontId="14" fillId="4" borderId="0" xfId="3" applyFont="1" applyFill="1"/>
    <xf numFmtId="0" fontId="13" fillId="5" borderId="1" xfId="3" quotePrefix="1" applyFont="1" applyFill="1" applyBorder="1" applyAlignment="1">
      <alignment horizontal="left"/>
    </xf>
    <xf numFmtId="0" fontId="13" fillId="5" borderId="1" xfId="3" applyFont="1" applyFill="1" applyBorder="1" applyAlignment="1">
      <alignment horizontal="left"/>
    </xf>
    <xf numFmtId="43" fontId="13" fillId="5" borderId="1" xfId="3" applyNumberFormat="1" applyFont="1" applyFill="1" applyBorder="1"/>
    <xf numFmtId="10" fontId="13" fillId="5" borderId="1" xfId="1" applyNumberFormat="1" applyFont="1" applyFill="1" applyBorder="1"/>
    <xf numFmtId="164" fontId="14" fillId="5" borderId="0" xfId="4" applyNumberFormat="1" applyFont="1" applyFill="1"/>
    <xf numFmtId="43" fontId="14" fillId="5" borderId="0" xfId="3" applyNumberFormat="1" applyFont="1" applyFill="1"/>
    <xf numFmtId="165" fontId="14" fillId="5" borderId="0" xfId="3" applyNumberFormat="1" applyFont="1" applyFill="1"/>
    <xf numFmtId="41" fontId="14" fillId="5" borderId="0" xfId="4" applyFont="1" applyFill="1"/>
    <xf numFmtId="0" fontId="14" fillId="5" borderId="0" xfId="3" applyFont="1" applyFill="1"/>
    <xf numFmtId="0" fontId="16" fillId="6" borderId="1" xfId="3" applyFont="1" applyFill="1" applyBorder="1" applyAlignment="1">
      <alignment horizontal="left"/>
    </xf>
    <xf numFmtId="43" fontId="16" fillId="6" borderId="1" xfId="6" applyFont="1" applyFill="1" applyBorder="1"/>
    <xf numFmtId="10" fontId="16" fillId="6" borderId="1" xfId="1" applyNumberFormat="1" applyFont="1" applyFill="1" applyBorder="1"/>
    <xf numFmtId="43" fontId="16" fillId="6" borderId="1" xfId="3" applyNumberFormat="1" applyFont="1" applyFill="1" applyBorder="1"/>
    <xf numFmtId="164" fontId="6" fillId="6" borderId="0" xfId="4" applyNumberFormat="1" applyFont="1" applyFill="1"/>
    <xf numFmtId="43" fontId="6" fillId="6" borderId="0" xfId="3" applyNumberFormat="1" applyFont="1" applyFill="1"/>
    <xf numFmtId="164" fontId="6" fillId="6" borderId="0" xfId="3" applyNumberFormat="1" applyFont="1" applyFill="1"/>
    <xf numFmtId="43" fontId="6" fillId="6" borderId="0" xfId="6" applyFont="1" applyFill="1"/>
    <xf numFmtId="0" fontId="6" fillId="6" borderId="0" xfId="3" applyFont="1" applyFill="1"/>
    <xf numFmtId="0" fontId="16" fillId="7" borderId="1" xfId="3" applyFont="1" applyFill="1" applyBorder="1" applyAlignment="1">
      <alignment horizontal="left"/>
    </xf>
    <xf numFmtId="43" fontId="16" fillId="7" borderId="1" xfId="6" applyFont="1" applyFill="1" applyBorder="1"/>
    <xf numFmtId="10" fontId="16" fillId="7" borderId="1" xfId="1" applyNumberFormat="1" applyFont="1" applyFill="1" applyBorder="1"/>
    <xf numFmtId="43" fontId="16" fillId="7" borderId="1" xfId="3" applyNumberFormat="1" applyFont="1" applyFill="1" applyBorder="1"/>
    <xf numFmtId="164" fontId="6" fillId="7" borderId="0" xfId="4" applyNumberFormat="1" applyFont="1" applyFill="1"/>
    <xf numFmtId="43" fontId="6" fillId="7" borderId="0" xfId="3" applyNumberFormat="1" applyFont="1" applyFill="1"/>
    <xf numFmtId="164" fontId="6" fillId="7" borderId="0" xfId="3" applyNumberFormat="1" applyFont="1" applyFill="1"/>
    <xf numFmtId="43" fontId="6" fillId="7" borderId="0" xfId="6" applyFont="1" applyFill="1"/>
    <xf numFmtId="0" fontId="6" fillId="7" borderId="0" xfId="3" applyFont="1" applyFill="1"/>
    <xf numFmtId="0" fontId="16" fillId="0" borderId="1" xfId="3" applyFont="1" applyBorder="1" applyAlignment="1">
      <alignment horizontal="left"/>
    </xf>
    <xf numFmtId="43" fontId="16" fillId="0" borderId="1" xfId="6" applyFont="1" applyFill="1" applyBorder="1"/>
    <xf numFmtId="164" fontId="16" fillId="0" borderId="1" xfId="4" applyNumberFormat="1" applyFont="1" applyFill="1" applyBorder="1"/>
    <xf numFmtId="10" fontId="16" fillId="0" borderId="1" xfId="1" applyNumberFormat="1" applyFont="1" applyFill="1" applyBorder="1"/>
    <xf numFmtId="43" fontId="16" fillId="0" borderId="1" xfId="3" applyNumberFormat="1" applyFont="1" applyBorder="1"/>
    <xf numFmtId="164" fontId="6" fillId="0" borderId="0" xfId="4" applyNumberFormat="1" applyFont="1" applyFill="1"/>
    <xf numFmtId="43" fontId="6" fillId="0" borderId="0" xfId="3" applyNumberFormat="1" applyFont="1"/>
    <xf numFmtId="41" fontId="6" fillId="0" borderId="0" xfId="4" applyFont="1" applyFill="1"/>
    <xf numFmtId="41" fontId="6" fillId="7" borderId="0" xfId="4" applyFont="1" applyFill="1"/>
    <xf numFmtId="41" fontId="6" fillId="6" borderId="0" xfId="4" applyFont="1" applyFill="1"/>
    <xf numFmtId="14" fontId="6" fillId="0" borderId="0" xfId="3" applyNumberFormat="1" applyFont="1"/>
    <xf numFmtId="14" fontId="6" fillId="0" borderId="0" xfId="4" applyNumberFormat="1" applyFont="1" applyFill="1"/>
    <xf numFmtId="41" fontId="6" fillId="0" borderId="0" xfId="4" applyFont="1" applyFill="1" applyAlignment="1">
      <alignment horizontal="center"/>
    </xf>
    <xf numFmtId="14" fontId="6" fillId="6" borderId="0" xfId="3" applyNumberFormat="1" applyFont="1" applyFill="1"/>
    <xf numFmtId="14" fontId="6" fillId="6" borderId="0" xfId="4" applyNumberFormat="1" applyFont="1" applyFill="1"/>
    <xf numFmtId="41" fontId="6" fillId="6" borderId="0" xfId="4" applyFont="1" applyFill="1" applyAlignment="1">
      <alignment horizontal="center"/>
    </xf>
    <xf numFmtId="14" fontId="6" fillId="7" borderId="0" xfId="3" applyNumberFormat="1" applyFont="1" applyFill="1"/>
    <xf numFmtId="14" fontId="6" fillId="7" borderId="0" xfId="4" applyNumberFormat="1" applyFont="1" applyFill="1"/>
    <xf numFmtId="41" fontId="6" fillId="7" borderId="0" xfId="4" applyFont="1" applyFill="1" applyAlignment="1">
      <alignment horizontal="center"/>
    </xf>
    <xf numFmtId="0" fontId="16" fillId="6" borderId="1" xfId="0" applyFont="1" applyFill="1" applyBorder="1" applyAlignment="1">
      <alignment wrapText="1"/>
    </xf>
    <xf numFmtId="0" fontId="16" fillId="7" borderId="1" xfId="0" applyFont="1" applyFill="1" applyBorder="1" applyAlignment="1">
      <alignment wrapText="1"/>
    </xf>
    <xf numFmtId="164" fontId="6" fillId="0" borderId="0" xfId="3" applyNumberFormat="1" applyFont="1"/>
    <xf numFmtId="43" fontId="6" fillId="0" borderId="0" xfId="6" applyFont="1" applyFill="1"/>
    <xf numFmtId="43" fontId="6" fillId="0" borderId="0" xfId="6" quotePrefix="1" applyFont="1" applyFill="1"/>
    <xf numFmtId="43" fontId="6" fillId="7" borderId="0" xfId="6" quotePrefix="1" applyFont="1" applyFill="1"/>
    <xf numFmtId="43" fontId="16" fillId="5" borderId="1" xfId="6" applyFont="1" applyFill="1" applyBorder="1"/>
    <xf numFmtId="10" fontId="16" fillId="5" borderId="1" xfId="1" applyNumberFormat="1" applyFont="1" applyFill="1" applyBorder="1"/>
    <xf numFmtId="43" fontId="16" fillId="5" borderId="1" xfId="3" applyNumberFormat="1" applyFont="1" applyFill="1" applyBorder="1"/>
    <xf numFmtId="164" fontId="6" fillId="5" borderId="0" xfId="4" applyNumberFormat="1" applyFont="1" applyFill="1"/>
    <xf numFmtId="0" fontId="6" fillId="5" borderId="0" xfId="3" applyFont="1" applyFill="1"/>
    <xf numFmtId="41" fontId="6" fillId="5" borderId="0" xfId="4" applyFont="1" applyFill="1"/>
    <xf numFmtId="41" fontId="6" fillId="0" borderId="0" xfId="4" applyFont="1" applyFill="1" applyBorder="1"/>
    <xf numFmtId="164" fontId="16" fillId="6" borderId="0" xfId="4" applyNumberFormat="1" applyFont="1" applyFill="1"/>
    <xf numFmtId="0" fontId="16" fillId="6" borderId="0" xfId="3" applyFont="1" applyFill="1"/>
    <xf numFmtId="41" fontId="16" fillId="6" borderId="0" xfId="4" applyFont="1" applyFill="1"/>
    <xf numFmtId="164" fontId="16" fillId="0" borderId="0" xfId="4" applyNumberFormat="1" applyFont="1" applyFill="1"/>
    <xf numFmtId="0" fontId="16" fillId="0" borderId="0" xfId="3" applyFont="1"/>
    <xf numFmtId="41" fontId="16" fillId="0" borderId="0" xfId="4" applyFont="1" applyFill="1"/>
    <xf numFmtId="164" fontId="16" fillId="5" borderId="0" xfId="4" applyNumberFormat="1" applyFont="1" applyFill="1"/>
    <xf numFmtId="0" fontId="16" fillId="5" borderId="0" xfId="3" applyFont="1" applyFill="1"/>
    <xf numFmtId="41" fontId="16" fillId="5" borderId="0" xfId="4" applyFont="1" applyFill="1"/>
    <xf numFmtId="0" fontId="16" fillId="6" borderId="1" xfId="3" applyFont="1" applyFill="1" applyBorder="1" applyAlignment="1">
      <alignment horizontal="left" wrapText="1"/>
    </xf>
    <xf numFmtId="0" fontId="16" fillId="7" borderId="1" xfId="3" applyFont="1" applyFill="1" applyBorder="1" applyAlignment="1">
      <alignment horizontal="left" wrapText="1"/>
    </xf>
    <xf numFmtId="164" fontId="16" fillId="7" borderId="0" xfId="4" applyNumberFormat="1" applyFont="1" applyFill="1"/>
    <xf numFmtId="0" fontId="16" fillId="7" borderId="0" xfId="3" applyFont="1" applyFill="1"/>
    <xf numFmtId="41" fontId="16" fillId="7" borderId="0" xfId="4" applyFont="1" applyFill="1"/>
    <xf numFmtId="0" fontId="16" fillId="0" borderId="1" xfId="3" applyFont="1" applyBorder="1" applyAlignment="1">
      <alignment horizontal="left" wrapText="1"/>
    </xf>
    <xf numFmtId="0" fontId="16" fillId="0" borderId="1" xfId="0" applyFont="1" applyBorder="1" applyAlignment="1">
      <alignment wrapText="1"/>
    </xf>
    <xf numFmtId="164" fontId="16" fillId="0" borderId="0" xfId="4" applyNumberFormat="1" applyFont="1" applyFill="1" applyBorder="1"/>
    <xf numFmtId="43" fontId="16" fillId="0" borderId="0" xfId="3" applyNumberFormat="1" applyFont="1"/>
    <xf numFmtId="0" fontId="13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wrapText="1"/>
    </xf>
    <xf numFmtId="4" fontId="13" fillId="4" borderId="1" xfId="0" applyNumberFormat="1" applyFont="1" applyFill="1" applyBorder="1" applyAlignment="1">
      <alignment horizontal="right"/>
    </xf>
    <xf numFmtId="10" fontId="17" fillId="4" borderId="1" xfId="1" applyNumberFormat="1" applyFont="1" applyFill="1" applyBorder="1"/>
    <xf numFmtId="0" fontId="17" fillId="4" borderId="0" xfId="0" applyFont="1" applyFill="1"/>
    <xf numFmtId="0" fontId="16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wrapText="1"/>
    </xf>
    <xf numFmtId="4" fontId="16" fillId="5" borderId="1" xfId="0" applyNumberFormat="1" applyFont="1" applyFill="1" applyBorder="1" applyAlignment="1">
      <alignment horizontal="right"/>
    </xf>
    <xf numFmtId="10" fontId="17" fillId="5" borderId="1" xfId="1" applyNumberFormat="1" applyFont="1" applyFill="1" applyBorder="1"/>
    <xf numFmtId="0" fontId="17" fillId="5" borderId="0" xfId="0" applyFont="1" applyFill="1"/>
    <xf numFmtId="0" fontId="16" fillId="6" borderId="1" xfId="0" applyFont="1" applyFill="1" applyBorder="1" applyAlignment="1">
      <alignment horizontal="left"/>
    </xf>
    <xf numFmtId="4" fontId="16" fillId="6" borderId="1" xfId="0" applyNumberFormat="1" applyFont="1" applyFill="1" applyBorder="1" applyAlignment="1">
      <alignment horizontal="right"/>
    </xf>
    <xf numFmtId="10" fontId="17" fillId="6" borderId="1" xfId="1" applyNumberFormat="1" applyFont="1" applyFill="1" applyBorder="1"/>
    <xf numFmtId="0" fontId="17" fillId="6" borderId="0" xfId="0" applyFont="1" applyFill="1"/>
    <xf numFmtId="0" fontId="16" fillId="7" borderId="1" xfId="0" applyFont="1" applyFill="1" applyBorder="1" applyAlignment="1">
      <alignment horizontal="left"/>
    </xf>
    <xf numFmtId="4" fontId="16" fillId="7" borderId="1" xfId="0" applyNumberFormat="1" applyFont="1" applyFill="1" applyBorder="1" applyAlignment="1">
      <alignment horizontal="right"/>
    </xf>
    <xf numFmtId="10" fontId="17" fillId="7" borderId="1" xfId="1" applyNumberFormat="1" applyFont="1" applyFill="1" applyBorder="1"/>
    <xf numFmtId="0" fontId="17" fillId="7" borderId="0" xfId="0" applyFont="1" applyFill="1"/>
    <xf numFmtId="0" fontId="16" fillId="0" borderId="1" xfId="0" applyFont="1" applyBorder="1" applyAlignment="1">
      <alignment horizontal="left"/>
    </xf>
    <xf numFmtId="166" fontId="17" fillId="0" borderId="2" xfId="0" applyNumberFormat="1" applyFont="1" applyBorder="1" applyAlignment="1">
      <alignment horizontal="right"/>
    </xf>
    <xf numFmtId="4" fontId="17" fillId="0" borderId="1" xfId="0" applyNumberFormat="1" applyFont="1" applyBorder="1"/>
    <xf numFmtId="10" fontId="17" fillId="0" borderId="1" xfId="1" applyNumberFormat="1" applyFont="1" applyBorder="1"/>
    <xf numFmtId="0" fontId="17" fillId="0" borderId="0" xfId="0" applyFont="1"/>
    <xf numFmtId="4" fontId="16" fillId="0" borderId="1" xfId="0" applyNumberFormat="1" applyFont="1" applyBorder="1" applyAlignment="1">
      <alignment horizontal="right"/>
    </xf>
    <xf numFmtId="0" fontId="17" fillId="0" borderId="1" xfId="0" applyFont="1" applyBorder="1"/>
    <xf numFmtId="166" fontId="17" fillId="7" borderId="2" xfId="0" applyNumberFormat="1" applyFont="1" applyFill="1" applyBorder="1" applyAlignment="1">
      <alignment horizontal="righ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/>
    <xf numFmtId="10" fontId="17" fillId="7" borderId="2" xfId="1" applyNumberFormat="1" applyFont="1" applyFill="1" applyBorder="1" applyAlignment="1">
      <alignment horizontal="right"/>
    </xf>
    <xf numFmtId="43" fontId="7" fillId="0" borderId="0" xfId="3" applyNumberFormat="1" applyFont="1"/>
    <xf numFmtId="43" fontId="6" fillId="0" borderId="0" xfId="6" applyFont="1"/>
    <xf numFmtId="43" fontId="6" fillId="0" borderId="0" xfId="6" applyFont="1" applyAlignment="1">
      <alignment horizontal="left"/>
    </xf>
    <xf numFmtId="43" fontId="18" fillId="0" borderId="0" xfId="3" applyNumberFormat="1" applyFont="1"/>
    <xf numFmtId="0" fontId="19" fillId="0" borderId="0" xfId="2" applyFont="1"/>
    <xf numFmtId="0" fontId="6" fillId="0" borderId="0" xfId="2" applyFont="1"/>
    <xf numFmtId="0" fontId="20" fillId="0" borderId="0" xfId="2" applyFont="1"/>
    <xf numFmtId="0" fontId="6" fillId="0" borderId="0" xfId="3" applyFont="1" applyAlignment="1">
      <alignment horizontal="left"/>
    </xf>
    <xf numFmtId="43" fontId="21" fillId="0" borderId="0" xfId="6" applyFont="1"/>
    <xf numFmtId="0" fontId="21" fillId="0" borderId="0" xfId="3" applyFont="1" applyAlignment="1">
      <alignment horizontal="left"/>
    </xf>
    <xf numFmtId="43" fontId="22" fillId="0" borderId="0" xfId="6" applyFont="1"/>
    <xf numFmtId="0" fontId="21" fillId="0" borderId="0" xfId="3" applyFont="1"/>
  </cellXfs>
  <cellStyles count="7">
    <cellStyle name="Comma [0] 2" xfId="4" xr:uid="{B20641FB-0749-4941-B6D8-B5351D93F2E7}"/>
    <cellStyle name="Comma 2" xfId="6" xr:uid="{604046C8-03B6-4848-BCE4-B4DAB05A8E83}"/>
    <cellStyle name="Hyperlink" xfId="5" builtinId="8"/>
    <cellStyle name="Normal" xfId="0" builtinId="0"/>
    <cellStyle name="Normal 4" xfId="2" xr:uid="{842145FE-C82A-D446-9150-8BF7B0838559}"/>
    <cellStyle name="Normal_TARGET PADP 2010" xfId="3" xr:uid="{A441544F-11B6-5E42-B39A-7D1BB3915C26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F374-B33B-DD42-8BF1-B88DE4FC4137}">
  <sheetPr>
    <tabColor indexed="12"/>
    <pageSetUpPr fitToPage="1"/>
  </sheetPr>
  <dimension ref="A1:N238"/>
  <sheetViews>
    <sheetView tabSelected="1" view="pageBreakPreview" zoomScaleNormal="130" zoomScaleSheetLayoutView="100" workbookViewId="0">
      <pane ySplit="5" topLeftCell="A6" activePane="bottomLeft" state="frozen"/>
      <selection activeCell="G7" sqref="G7"/>
      <selection pane="bottomLeft" activeCell="H11" sqref="H11"/>
    </sheetView>
  </sheetViews>
  <sheetFormatPr baseColWidth="10" defaultColWidth="9.1640625" defaultRowHeight="13" x14ac:dyDescent="0.15"/>
  <cols>
    <col min="1" max="1" width="19" style="7" customWidth="1"/>
    <col min="2" max="2" width="76.5" style="7" customWidth="1"/>
    <col min="3" max="5" width="20.83203125" style="8" bestFit="1" customWidth="1"/>
    <col min="6" max="6" width="9.33203125" style="8" customWidth="1"/>
    <col min="7" max="7" width="49.1640625" style="7" customWidth="1"/>
    <col min="8" max="8" width="16.5" style="10" bestFit="1" customWidth="1"/>
    <col min="9" max="9" width="17.6640625" style="5" bestFit="1" customWidth="1"/>
    <col min="10" max="10" width="16.5" style="5" bestFit="1" customWidth="1"/>
    <col min="11" max="11" width="15.5" style="6" customWidth="1"/>
    <col min="12" max="12" width="16.5" style="5" bestFit="1" customWidth="1"/>
    <col min="13" max="13" width="17.6640625" style="5" customWidth="1"/>
    <col min="14" max="14" width="16.5" style="5" bestFit="1" customWidth="1"/>
    <col min="15" max="16384" width="9.1640625" style="5"/>
  </cols>
  <sheetData>
    <row r="1" spans="1:14" ht="19" x14ac:dyDescent="0.25">
      <c r="A1" s="1" t="s">
        <v>0</v>
      </c>
      <c r="B1" s="1"/>
      <c r="C1" s="1"/>
      <c r="D1" s="1"/>
      <c r="E1" s="1"/>
      <c r="F1" s="1"/>
      <c r="G1" s="1"/>
      <c r="H1" s="2"/>
      <c r="I1" s="3"/>
      <c r="J1" s="4"/>
      <c r="K1" s="5"/>
      <c r="L1" s="6"/>
      <c r="M1" s="6"/>
    </row>
    <row r="2" spans="1:14" ht="19" x14ac:dyDescent="0.25">
      <c r="A2" s="1" t="s">
        <v>1</v>
      </c>
      <c r="B2" s="1"/>
      <c r="C2" s="1"/>
      <c r="D2" s="1"/>
      <c r="E2" s="1"/>
      <c r="F2" s="1"/>
      <c r="G2" s="1"/>
      <c r="H2" s="2"/>
      <c r="I2" s="3"/>
      <c r="J2" s="4"/>
      <c r="K2" s="5"/>
      <c r="L2" s="6"/>
      <c r="M2" s="6"/>
    </row>
    <row r="3" spans="1:14" ht="14" x14ac:dyDescent="0.15">
      <c r="G3" s="9"/>
    </row>
    <row r="4" spans="1:14" s="16" customFormat="1" ht="15.5" customHeight="1" x14ac:dyDescent="0.15">
      <c r="A4" s="11" t="s">
        <v>2</v>
      </c>
      <c r="B4" s="11" t="s">
        <v>3</v>
      </c>
      <c r="C4" s="12">
        <v>2026</v>
      </c>
      <c r="D4" s="12"/>
      <c r="E4" s="13" t="s">
        <v>4</v>
      </c>
      <c r="F4" s="13"/>
      <c r="G4" s="14" t="s">
        <v>5</v>
      </c>
      <c r="H4" s="15"/>
      <c r="K4" s="17"/>
    </row>
    <row r="5" spans="1:14" s="16" customFormat="1" ht="14" x14ac:dyDescent="0.15">
      <c r="A5" s="11"/>
      <c r="B5" s="11"/>
      <c r="C5" s="18" t="s">
        <v>6</v>
      </c>
      <c r="D5" s="18" t="s">
        <v>7</v>
      </c>
      <c r="E5" s="18" t="s">
        <v>8</v>
      </c>
      <c r="F5" s="18" t="s">
        <v>9</v>
      </c>
      <c r="G5" s="14"/>
      <c r="H5" s="15"/>
      <c r="K5" s="17"/>
    </row>
    <row r="6" spans="1:14" s="24" customFormat="1" ht="15" x14ac:dyDescent="0.15">
      <c r="A6" s="19">
        <v>4</v>
      </c>
      <c r="B6" s="19" t="s">
        <v>10</v>
      </c>
      <c r="C6" s="20">
        <f>C7+C105+C166</f>
        <v>699540130138</v>
      </c>
      <c r="D6" s="20">
        <f>D7+D105+D166</f>
        <v>577497218481.56995</v>
      </c>
      <c r="E6" s="20">
        <f>E7+E105+E166</f>
        <v>122042911656.42999</v>
      </c>
      <c r="F6" s="21">
        <f t="shared" ref="F6:F51" si="0">D6/C6</f>
        <v>0.82553836956808413</v>
      </c>
      <c r="G6" s="22"/>
      <c r="H6" s="23" t="s">
        <v>11</v>
      </c>
      <c r="K6" s="25"/>
    </row>
    <row r="7" spans="1:14" s="34" customFormat="1" ht="14" x14ac:dyDescent="0.15">
      <c r="A7" s="26" t="s">
        <v>12</v>
      </c>
      <c r="B7" s="27" t="s">
        <v>13</v>
      </c>
      <c r="C7" s="28">
        <f>SUM(C8,C50,C75,C79)</f>
        <v>105173626879</v>
      </c>
      <c r="D7" s="28">
        <f>SUM(D8,D50,D75,D79)</f>
        <v>56663348519.569992</v>
      </c>
      <c r="E7" s="28">
        <f>SUM(E8,E50,E75,E79)</f>
        <v>48510278359.43</v>
      </c>
      <c r="F7" s="29">
        <f t="shared" si="0"/>
        <v>0.53876005041415909</v>
      </c>
      <c r="G7" s="30"/>
      <c r="H7" s="31"/>
      <c r="I7" s="31"/>
      <c r="J7" s="32"/>
      <c r="K7" s="33"/>
    </row>
    <row r="8" spans="1:14" s="43" customFormat="1" ht="14" x14ac:dyDescent="0.15">
      <c r="A8" s="35" t="s">
        <v>14</v>
      </c>
      <c r="B8" s="36" t="s">
        <v>15</v>
      </c>
      <c r="C8" s="37">
        <f>C9+C18+C21+C24+C27+C30+C44+C47</f>
        <v>22808066628</v>
      </c>
      <c r="D8" s="37">
        <f>D9+D18+D21+D24+D27+D30+D44+D47</f>
        <v>12076686788</v>
      </c>
      <c r="E8" s="37">
        <f t="shared" ref="E8" si="1">E9+E18+E21+E24+E27+E30+E44+E47</f>
        <v>10731379840</v>
      </c>
      <c r="F8" s="38">
        <f t="shared" si="0"/>
        <v>0.52949191112824212</v>
      </c>
      <c r="G8" s="37"/>
      <c r="H8" s="39"/>
      <c r="I8" s="40"/>
      <c r="J8" s="41"/>
      <c r="K8" s="42"/>
    </row>
    <row r="9" spans="1:14" s="52" customFormat="1" ht="14" x14ac:dyDescent="0.15">
      <c r="A9" s="44" t="s">
        <v>16</v>
      </c>
      <c r="B9" s="44" t="s">
        <v>17</v>
      </c>
      <c r="C9" s="45">
        <f>C10+C12+C14+C16</f>
        <v>555600000</v>
      </c>
      <c r="D9" s="45">
        <f t="shared" ref="D9:E9" si="2">D10+D12+D14+D16</f>
        <v>477490340</v>
      </c>
      <c r="E9" s="45">
        <f t="shared" si="2"/>
        <v>78109660</v>
      </c>
      <c r="F9" s="46">
        <f t="shared" si="0"/>
        <v>0.85941385889128874</v>
      </c>
      <c r="G9" s="47" t="s">
        <v>18</v>
      </c>
      <c r="H9" s="48"/>
      <c r="I9" s="49"/>
      <c r="J9" s="50"/>
      <c r="K9" s="48"/>
      <c r="L9" s="48"/>
      <c r="M9" s="51"/>
      <c r="N9" s="50"/>
    </row>
    <row r="10" spans="1:14" s="61" customFormat="1" ht="14" x14ac:dyDescent="0.15">
      <c r="A10" s="53" t="s">
        <v>19</v>
      </c>
      <c r="B10" s="53" t="s">
        <v>20</v>
      </c>
      <c r="C10" s="54">
        <f>SUM(C11)</f>
        <v>425600000</v>
      </c>
      <c r="D10" s="54">
        <f t="shared" ref="D10:E10" si="3">SUM(D11)</f>
        <v>395909600</v>
      </c>
      <c r="E10" s="54">
        <f t="shared" si="3"/>
        <v>29690400</v>
      </c>
      <c r="F10" s="55">
        <f t="shared" si="0"/>
        <v>0.93023872180451128</v>
      </c>
      <c r="G10" s="56"/>
      <c r="H10" s="57"/>
      <c r="I10" s="58"/>
      <c r="J10" s="59"/>
      <c r="K10" s="57"/>
      <c r="L10" s="57"/>
      <c r="M10" s="60"/>
      <c r="N10" s="59"/>
    </row>
    <row r="11" spans="1:14" s="7" customFormat="1" ht="14" x14ac:dyDescent="0.15">
      <c r="A11" s="62" t="s">
        <v>21</v>
      </c>
      <c r="B11" s="62" t="s">
        <v>20</v>
      </c>
      <c r="C11" s="63">
        <v>425600000</v>
      </c>
      <c r="D11" s="64">
        <v>395909600</v>
      </c>
      <c r="E11" s="64">
        <f t="shared" ref="E11:E17" si="4">C11-D11</f>
        <v>29690400</v>
      </c>
      <c r="F11" s="65">
        <f t="shared" si="0"/>
        <v>0.93023872180451128</v>
      </c>
      <c r="G11" s="66" t="s">
        <v>18</v>
      </c>
      <c r="H11" s="67"/>
      <c r="I11" s="68"/>
      <c r="J11" s="68"/>
      <c r="K11" s="69"/>
    </row>
    <row r="12" spans="1:14" s="61" customFormat="1" ht="14" x14ac:dyDescent="0.15">
      <c r="A12" s="53" t="s">
        <v>22</v>
      </c>
      <c r="B12" s="53" t="s">
        <v>23</v>
      </c>
      <c r="C12" s="54">
        <f>SUM(C13)</f>
        <v>115000000</v>
      </c>
      <c r="D12" s="54">
        <f t="shared" ref="D12:E12" si="5">SUM(D13)</f>
        <v>79338240</v>
      </c>
      <c r="E12" s="54">
        <f t="shared" si="5"/>
        <v>35661760</v>
      </c>
      <c r="F12" s="55">
        <f t="shared" si="0"/>
        <v>0.68989773913043473</v>
      </c>
      <c r="G12" s="56"/>
      <c r="H12" s="57"/>
      <c r="I12" s="58"/>
      <c r="J12" s="58"/>
      <c r="K12" s="70"/>
    </row>
    <row r="13" spans="1:14" s="7" customFormat="1" ht="14" x14ac:dyDescent="0.15">
      <c r="A13" s="62" t="s">
        <v>24</v>
      </c>
      <c r="B13" s="62" t="s">
        <v>23</v>
      </c>
      <c r="C13" s="63">
        <v>115000000</v>
      </c>
      <c r="D13" s="64">
        <v>79338240</v>
      </c>
      <c r="E13" s="64">
        <f t="shared" si="4"/>
        <v>35661760</v>
      </c>
      <c r="F13" s="65">
        <f t="shared" si="0"/>
        <v>0.68989773913043473</v>
      </c>
      <c r="G13" s="66" t="s">
        <v>18</v>
      </c>
      <c r="H13" s="67"/>
      <c r="K13" s="69"/>
    </row>
    <row r="14" spans="1:14" s="61" customFormat="1" ht="14" x14ac:dyDescent="0.15">
      <c r="A14" s="53" t="s">
        <v>25</v>
      </c>
      <c r="B14" s="53" t="s">
        <v>26</v>
      </c>
      <c r="C14" s="54">
        <f>SUM(C15)</f>
        <v>10000000</v>
      </c>
      <c r="D14" s="54">
        <f t="shared" ref="D14:E14" si="6">SUM(D15)</f>
        <v>2242500</v>
      </c>
      <c r="E14" s="54">
        <f t="shared" si="6"/>
        <v>7757500</v>
      </c>
      <c r="F14" s="55">
        <f t="shared" si="0"/>
        <v>0.22425</v>
      </c>
      <c r="G14" s="56"/>
      <c r="H14" s="57"/>
      <c r="K14" s="70"/>
    </row>
    <row r="15" spans="1:14" s="7" customFormat="1" ht="14" x14ac:dyDescent="0.15">
      <c r="A15" s="62" t="s">
        <v>27</v>
      </c>
      <c r="B15" s="62" t="s">
        <v>26</v>
      </c>
      <c r="C15" s="63">
        <v>10000000</v>
      </c>
      <c r="D15" s="64">
        <v>2242500</v>
      </c>
      <c r="E15" s="64">
        <f t="shared" si="4"/>
        <v>7757500</v>
      </c>
      <c r="F15" s="65">
        <f t="shared" si="0"/>
        <v>0.22425</v>
      </c>
      <c r="G15" s="66" t="s">
        <v>18</v>
      </c>
      <c r="H15" s="67"/>
      <c r="K15" s="69"/>
    </row>
    <row r="16" spans="1:14" s="61" customFormat="1" ht="14" x14ac:dyDescent="0.15">
      <c r="A16" s="53" t="s">
        <v>28</v>
      </c>
      <c r="B16" s="53" t="s">
        <v>29</v>
      </c>
      <c r="C16" s="54">
        <f>SUM(C17)</f>
        <v>5000000</v>
      </c>
      <c r="D16" s="54">
        <f t="shared" ref="D16:E16" si="7">SUM(D17)</f>
        <v>0</v>
      </c>
      <c r="E16" s="54">
        <f t="shared" si="7"/>
        <v>5000000</v>
      </c>
      <c r="F16" s="55">
        <f t="shared" si="0"/>
        <v>0</v>
      </c>
      <c r="G16" s="56"/>
      <c r="H16" s="57"/>
      <c r="K16" s="70"/>
    </row>
    <row r="17" spans="1:14" s="7" customFormat="1" ht="14" x14ac:dyDescent="0.15">
      <c r="A17" s="62" t="s">
        <v>30</v>
      </c>
      <c r="B17" s="62" t="s">
        <v>29</v>
      </c>
      <c r="C17" s="63">
        <v>5000000</v>
      </c>
      <c r="D17" s="64">
        <v>0</v>
      </c>
      <c r="E17" s="64">
        <f t="shared" si="4"/>
        <v>5000000</v>
      </c>
      <c r="F17" s="65">
        <f t="shared" si="0"/>
        <v>0</v>
      </c>
      <c r="G17" s="66" t="s">
        <v>18</v>
      </c>
      <c r="H17" s="67"/>
      <c r="K17" s="69"/>
    </row>
    <row r="18" spans="1:14" s="52" customFormat="1" ht="14" x14ac:dyDescent="0.15">
      <c r="A18" s="44" t="s">
        <v>31</v>
      </c>
      <c r="B18" s="44" t="s">
        <v>32</v>
      </c>
      <c r="C18" s="45">
        <f>SUM(C19)</f>
        <v>20000000</v>
      </c>
      <c r="D18" s="45">
        <f t="shared" ref="D18:E19" si="8">SUM(D19)</f>
        <v>9821259</v>
      </c>
      <c r="E18" s="45">
        <f t="shared" si="8"/>
        <v>10178741</v>
      </c>
      <c r="F18" s="46">
        <f t="shared" si="0"/>
        <v>0.49106295</v>
      </c>
      <c r="G18" s="47"/>
      <c r="H18" s="48"/>
      <c r="I18" s="49"/>
      <c r="J18" s="50"/>
      <c r="K18" s="48"/>
      <c r="L18" s="48"/>
      <c r="M18" s="51"/>
      <c r="N18" s="50"/>
    </row>
    <row r="19" spans="1:14" s="61" customFormat="1" ht="14" x14ac:dyDescent="0.15">
      <c r="A19" s="53" t="s">
        <v>33</v>
      </c>
      <c r="B19" s="53" t="s">
        <v>32</v>
      </c>
      <c r="C19" s="54">
        <f>SUM(C20)</f>
        <v>20000000</v>
      </c>
      <c r="D19" s="54">
        <f t="shared" si="8"/>
        <v>9821259</v>
      </c>
      <c r="E19" s="54">
        <f t="shared" si="8"/>
        <v>10178741</v>
      </c>
      <c r="F19" s="55">
        <f t="shared" si="0"/>
        <v>0.49106295</v>
      </c>
      <c r="G19" s="56"/>
      <c r="H19" s="57"/>
      <c r="I19" s="58"/>
      <c r="J19" s="59"/>
      <c r="K19" s="57"/>
      <c r="L19" s="57"/>
      <c r="M19" s="60"/>
      <c r="N19" s="59"/>
    </row>
    <row r="20" spans="1:14" s="7" customFormat="1" ht="14" x14ac:dyDescent="0.15">
      <c r="A20" s="62" t="s">
        <v>34</v>
      </c>
      <c r="B20" s="62" t="s">
        <v>35</v>
      </c>
      <c r="C20" s="63">
        <v>20000000</v>
      </c>
      <c r="D20" s="64">
        <v>9821259</v>
      </c>
      <c r="E20" s="64">
        <f t="shared" ref="E20:E29" si="9">C20-D20</f>
        <v>10178741</v>
      </c>
      <c r="F20" s="65">
        <f t="shared" si="0"/>
        <v>0.49106295</v>
      </c>
      <c r="G20" s="66" t="s">
        <v>18</v>
      </c>
      <c r="H20" s="67"/>
      <c r="K20" s="69"/>
    </row>
    <row r="21" spans="1:14" s="52" customFormat="1" ht="14" x14ac:dyDescent="0.15">
      <c r="A21" s="44" t="s">
        <v>36</v>
      </c>
      <c r="B21" s="44" t="s">
        <v>37</v>
      </c>
      <c r="C21" s="45">
        <f>SUM(C22)</f>
        <v>500000000</v>
      </c>
      <c r="D21" s="45">
        <f t="shared" ref="D21:E22" si="10">SUM(D22)</f>
        <v>44135460</v>
      </c>
      <c r="E21" s="45">
        <f t="shared" si="10"/>
        <v>455864540</v>
      </c>
      <c r="F21" s="46">
        <f t="shared" si="0"/>
        <v>8.8270920000000003E-2</v>
      </c>
      <c r="G21" s="47"/>
      <c r="H21" s="48"/>
      <c r="K21" s="71"/>
    </row>
    <row r="22" spans="1:14" s="61" customFormat="1" ht="14" x14ac:dyDescent="0.15">
      <c r="A22" s="53" t="s">
        <v>38</v>
      </c>
      <c r="B22" s="53" t="s">
        <v>37</v>
      </c>
      <c r="C22" s="54">
        <f>SUM(C23)</f>
        <v>500000000</v>
      </c>
      <c r="D22" s="54">
        <f t="shared" si="10"/>
        <v>44135460</v>
      </c>
      <c r="E22" s="54">
        <f t="shared" si="10"/>
        <v>455864540</v>
      </c>
      <c r="F22" s="55">
        <f t="shared" si="0"/>
        <v>8.8270920000000003E-2</v>
      </c>
      <c r="G22" s="56"/>
      <c r="H22" s="57"/>
      <c r="K22" s="70"/>
    </row>
    <row r="23" spans="1:14" s="7" customFormat="1" ht="14" x14ac:dyDescent="0.15">
      <c r="A23" s="62" t="s">
        <v>39</v>
      </c>
      <c r="B23" s="62" t="s">
        <v>40</v>
      </c>
      <c r="C23" s="63">
        <v>500000000</v>
      </c>
      <c r="D23" s="64">
        <v>44135460</v>
      </c>
      <c r="E23" s="64">
        <f t="shared" si="9"/>
        <v>455864540</v>
      </c>
      <c r="F23" s="65">
        <f t="shared" si="0"/>
        <v>8.8270920000000003E-2</v>
      </c>
      <c r="G23" s="66" t="s">
        <v>18</v>
      </c>
      <c r="H23" s="67"/>
      <c r="I23" s="68"/>
      <c r="J23" s="72"/>
      <c r="K23" s="73"/>
      <c r="L23" s="74"/>
    </row>
    <row r="24" spans="1:14" s="52" customFormat="1" ht="14" x14ac:dyDescent="0.15">
      <c r="A24" s="44" t="s">
        <v>41</v>
      </c>
      <c r="B24" s="44" t="s">
        <v>42</v>
      </c>
      <c r="C24" s="45">
        <f>SUM(C25)</f>
        <v>1000000000</v>
      </c>
      <c r="D24" s="45">
        <f t="shared" ref="D24:E25" si="11">SUM(D25)</f>
        <v>452525655</v>
      </c>
      <c r="E24" s="45">
        <f t="shared" si="11"/>
        <v>547474345</v>
      </c>
      <c r="F24" s="46">
        <f t="shared" si="0"/>
        <v>0.45252565500000003</v>
      </c>
      <c r="G24" s="47"/>
      <c r="H24" s="48"/>
      <c r="I24" s="49"/>
      <c r="J24" s="75"/>
      <c r="K24" s="76"/>
      <c r="L24" s="77"/>
    </row>
    <row r="25" spans="1:14" s="61" customFormat="1" ht="14" x14ac:dyDescent="0.15">
      <c r="A25" s="53" t="s">
        <v>43</v>
      </c>
      <c r="B25" s="53" t="s">
        <v>42</v>
      </c>
      <c r="C25" s="54">
        <f>SUM(C26)</f>
        <v>1000000000</v>
      </c>
      <c r="D25" s="54">
        <f t="shared" si="11"/>
        <v>452525655</v>
      </c>
      <c r="E25" s="54">
        <f t="shared" si="11"/>
        <v>547474345</v>
      </c>
      <c r="F25" s="55">
        <f t="shared" si="0"/>
        <v>0.45252565500000003</v>
      </c>
      <c r="G25" s="56"/>
      <c r="H25" s="57"/>
      <c r="I25" s="58"/>
      <c r="J25" s="78"/>
      <c r="K25" s="79"/>
      <c r="L25" s="80"/>
    </row>
    <row r="26" spans="1:14" s="7" customFormat="1" ht="14" x14ac:dyDescent="0.15">
      <c r="A26" s="62" t="s">
        <v>44</v>
      </c>
      <c r="B26" s="62" t="s">
        <v>45</v>
      </c>
      <c r="C26" s="63">
        <v>1000000000</v>
      </c>
      <c r="D26" s="64">
        <v>452525655</v>
      </c>
      <c r="E26" s="64">
        <f t="shared" si="9"/>
        <v>547474345</v>
      </c>
      <c r="F26" s="65">
        <f t="shared" si="0"/>
        <v>0.45252565500000003</v>
      </c>
      <c r="G26" s="66" t="s">
        <v>18</v>
      </c>
      <c r="H26" s="67"/>
      <c r="I26" s="68"/>
      <c r="J26" s="68"/>
      <c r="K26" s="69"/>
      <c r="L26" s="69"/>
      <c r="M26" s="68"/>
    </row>
    <row r="27" spans="1:14" s="52" customFormat="1" ht="14" x14ac:dyDescent="0.15">
      <c r="A27" s="44" t="s">
        <v>46</v>
      </c>
      <c r="B27" s="44" t="s">
        <v>47</v>
      </c>
      <c r="C27" s="45">
        <f>SUM(C28)</f>
        <v>2000000000</v>
      </c>
      <c r="D27" s="45">
        <f t="shared" ref="D27:E28" si="12">SUM(D28)</f>
        <v>1499204000</v>
      </c>
      <c r="E27" s="45">
        <f t="shared" si="12"/>
        <v>500796000</v>
      </c>
      <c r="F27" s="46">
        <f t="shared" si="0"/>
        <v>0.74960199999999999</v>
      </c>
      <c r="G27" s="47"/>
      <c r="H27" s="48"/>
      <c r="I27" s="49"/>
      <c r="J27" s="49"/>
      <c r="K27" s="71"/>
      <c r="L27" s="71"/>
      <c r="M27" s="49"/>
    </row>
    <row r="28" spans="1:14" s="61" customFormat="1" ht="14" x14ac:dyDescent="0.15">
      <c r="A28" s="53" t="s">
        <v>48</v>
      </c>
      <c r="B28" s="53" t="s">
        <v>47</v>
      </c>
      <c r="C28" s="54">
        <f>SUM(C29)</f>
        <v>2000000000</v>
      </c>
      <c r="D28" s="54">
        <f t="shared" si="12"/>
        <v>1499204000</v>
      </c>
      <c r="E28" s="54">
        <f t="shared" si="12"/>
        <v>500796000</v>
      </c>
      <c r="F28" s="55">
        <f t="shared" si="0"/>
        <v>0.74960199999999999</v>
      </c>
      <c r="G28" s="56"/>
      <c r="H28" s="57"/>
      <c r="I28" s="58"/>
      <c r="J28" s="58"/>
      <c r="K28" s="70"/>
      <c r="L28" s="70"/>
      <c r="M28" s="58"/>
    </row>
    <row r="29" spans="1:14" s="7" customFormat="1" ht="14" x14ac:dyDescent="0.15">
      <c r="A29" s="62" t="s">
        <v>49</v>
      </c>
      <c r="B29" s="62" t="s">
        <v>47</v>
      </c>
      <c r="C29" s="63">
        <v>2000000000</v>
      </c>
      <c r="D29" s="64">
        <v>1499204000</v>
      </c>
      <c r="E29" s="64">
        <f t="shared" si="9"/>
        <v>500796000</v>
      </c>
      <c r="F29" s="65">
        <f t="shared" si="0"/>
        <v>0.74960199999999999</v>
      </c>
      <c r="G29" s="66" t="s">
        <v>18</v>
      </c>
      <c r="H29" s="67"/>
      <c r="K29" s="69"/>
    </row>
    <row r="30" spans="1:14" s="52" customFormat="1" ht="15" x14ac:dyDescent="0.15">
      <c r="A30" s="44" t="s">
        <v>50</v>
      </c>
      <c r="B30" s="81" t="s">
        <v>51</v>
      </c>
      <c r="C30" s="45">
        <f>C31+C33+C35+C37+C39</f>
        <v>8073304750</v>
      </c>
      <c r="D30" s="45">
        <f t="shared" ref="D30:E30" si="13">D31+D33+D35+D37+D39</f>
        <v>5017701974</v>
      </c>
      <c r="E30" s="45">
        <f t="shared" si="13"/>
        <v>3055602776</v>
      </c>
      <c r="F30" s="46">
        <f t="shared" si="0"/>
        <v>0.62151772159969554</v>
      </c>
      <c r="G30" s="47"/>
      <c r="H30" s="48"/>
      <c r="I30" s="49"/>
      <c r="J30" s="50"/>
      <c r="K30" s="48"/>
      <c r="L30" s="48"/>
      <c r="M30" s="51"/>
      <c r="N30" s="50"/>
    </row>
    <row r="31" spans="1:14" s="61" customFormat="1" ht="15" x14ac:dyDescent="0.15">
      <c r="A31" s="53" t="s">
        <v>52</v>
      </c>
      <c r="B31" s="82" t="s">
        <v>53</v>
      </c>
      <c r="C31" s="54">
        <f>SUM(C32)</f>
        <v>2080000000</v>
      </c>
      <c r="D31" s="54">
        <f t="shared" ref="D31:E31" si="14">SUM(D32)</f>
        <v>680943242</v>
      </c>
      <c r="E31" s="54">
        <f t="shared" si="14"/>
        <v>1399056758</v>
      </c>
      <c r="F31" s="55">
        <f t="shared" si="0"/>
        <v>0.32737655865384613</v>
      </c>
      <c r="G31" s="56"/>
      <c r="H31" s="57"/>
      <c r="I31" s="58"/>
      <c r="J31" s="59"/>
      <c r="K31" s="57"/>
      <c r="L31" s="57"/>
      <c r="M31" s="60"/>
      <c r="N31" s="59"/>
    </row>
    <row r="32" spans="1:14" s="7" customFormat="1" ht="14" x14ac:dyDescent="0.15">
      <c r="A32" s="62" t="s">
        <v>54</v>
      </c>
      <c r="B32" s="62" t="s">
        <v>55</v>
      </c>
      <c r="C32" s="63">
        <v>2080000000</v>
      </c>
      <c r="D32" s="64">
        <v>680943242</v>
      </c>
      <c r="E32" s="64">
        <f t="shared" ref="E32:E43" si="15">C32-D32</f>
        <v>1399056758</v>
      </c>
      <c r="F32" s="65">
        <f t="shared" si="0"/>
        <v>0.32737655865384613</v>
      </c>
      <c r="G32" s="66" t="s">
        <v>18</v>
      </c>
      <c r="H32" s="67"/>
      <c r="I32" s="68"/>
      <c r="J32" s="83"/>
      <c r="K32" s="67"/>
      <c r="L32" s="67"/>
      <c r="M32" s="84"/>
      <c r="N32" s="83"/>
    </row>
    <row r="33" spans="1:14" s="61" customFormat="1" ht="15" x14ac:dyDescent="0.15">
      <c r="A33" s="53" t="s">
        <v>56</v>
      </c>
      <c r="B33" s="82" t="s">
        <v>57</v>
      </c>
      <c r="C33" s="54">
        <f>SUM(C34)</f>
        <v>4744704750</v>
      </c>
      <c r="D33" s="54">
        <f t="shared" ref="D33:E33" si="16">SUM(D34)</f>
        <v>3833045851</v>
      </c>
      <c r="E33" s="54">
        <f t="shared" si="16"/>
        <v>911658899</v>
      </c>
      <c r="F33" s="55">
        <f t="shared" si="0"/>
        <v>0.80785761242572574</v>
      </c>
      <c r="G33" s="56"/>
      <c r="H33" s="57"/>
      <c r="I33" s="58"/>
      <c r="J33" s="59"/>
      <c r="K33" s="57"/>
      <c r="L33" s="57"/>
      <c r="M33" s="60"/>
      <c r="N33" s="59"/>
    </row>
    <row r="34" spans="1:14" s="7" customFormat="1" ht="14" x14ac:dyDescent="0.15">
      <c r="A34" s="62" t="s">
        <v>58</v>
      </c>
      <c r="B34" s="62" t="s">
        <v>59</v>
      </c>
      <c r="C34" s="63">
        <v>4744704750</v>
      </c>
      <c r="D34" s="64">
        <v>3833045851</v>
      </c>
      <c r="E34" s="64">
        <f t="shared" si="15"/>
        <v>911658899</v>
      </c>
      <c r="F34" s="65">
        <f t="shared" si="0"/>
        <v>0.80785761242572574</v>
      </c>
      <c r="G34" s="66" t="s">
        <v>18</v>
      </c>
      <c r="H34" s="85"/>
      <c r="K34" s="69"/>
    </row>
    <row r="35" spans="1:14" s="61" customFormat="1" ht="15" x14ac:dyDescent="0.15">
      <c r="A35" s="53" t="s">
        <v>60</v>
      </c>
      <c r="B35" s="82" t="s">
        <v>61</v>
      </c>
      <c r="C35" s="54">
        <f>SUM(C36)</f>
        <v>1150000000</v>
      </c>
      <c r="D35" s="54">
        <f t="shared" ref="D35:E35" si="17">SUM(D36)</f>
        <v>468906685</v>
      </c>
      <c r="E35" s="54">
        <f t="shared" si="17"/>
        <v>681093315</v>
      </c>
      <c r="F35" s="55">
        <f t="shared" si="0"/>
        <v>0.40774494347826085</v>
      </c>
      <c r="G35" s="56"/>
      <c r="H35" s="86"/>
      <c r="K35" s="70"/>
    </row>
    <row r="36" spans="1:14" s="7" customFormat="1" ht="14" x14ac:dyDescent="0.15">
      <c r="A36" s="62" t="s">
        <v>62</v>
      </c>
      <c r="B36" s="62" t="s">
        <v>63</v>
      </c>
      <c r="C36" s="63">
        <v>1150000000</v>
      </c>
      <c r="D36" s="64">
        <v>468906685</v>
      </c>
      <c r="E36" s="64">
        <f t="shared" si="15"/>
        <v>681093315</v>
      </c>
      <c r="F36" s="65">
        <f t="shared" si="0"/>
        <v>0.40774494347826085</v>
      </c>
      <c r="G36" s="66" t="s">
        <v>18</v>
      </c>
      <c r="H36" s="67"/>
      <c r="I36" s="84"/>
      <c r="J36" s="83"/>
      <c r="K36" s="72"/>
    </row>
    <row r="37" spans="1:14" s="61" customFormat="1" ht="15" x14ac:dyDescent="0.15">
      <c r="A37" s="53" t="s">
        <v>64</v>
      </c>
      <c r="B37" s="82" t="s">
        <v>65</v>
      </c>
      <c r="C37" s="54">
        <f>SUM(C38)</f>
        <v>5000000</v>
      </c>
      <c r="D37" s="54">
        <f t="shared" ref="D37:E37" si="18">SUM(D38)</f>
        <v>2340000</v>
      </c>
      <c r="E37" s="54">
        <f t="shared" si="18"/>
        <v>2660000</v>
      </c>
      <c r="F37" s="55">
        <f t="shared" si="0"/>
        <v>0.46800000000000003</v>
      </c>
      <c r="G37" s="56"/>
      <c r="H37" s="57"/>
      <c r="I37" s="60"/>
      <c r="J37" s="59"/>
      <c r="K37" s="78"/>
    </row>
    <row r="38" spans="1:14" s="7" customFormat="1" ht="14" x14ac:dyDescent="0.15">
      <c r="A38" s="62" t="s">
        <v>66</v>
      </c>
      <c r="B38" s="62" t="s">
        <v>67</v>
      </c>
      <c r="C38" s="63">
        <v>5000000</v>
      </c>
      <c r="D38" s="64">
        <v>2340000</v>
      </c>
      <c r="E38" s="64">
        <f t="shared" si="15"/>
        <v>2660000</v>
      </c>
      <c r="F38" s="65">
        <f t="shared" si="0"/>
        <v>0.46800000000000003</v>
      </c>
      <c r="G38" s="66" t="s">
        <v>18</v>
      </c>
      <c r="H38" s="67"/>
      <c r="K38" s="69"/>
    </row>
    <row r="39" spans="1:14" s="61" customFormat="1" ht="15" x14ac:dyDescent="0.15">
      <c r="A39" s="53" t="s">
        <v>68</v>
      </c>
      <c r="B39" s="82" t="s">
        <v>69</v>
      </c>
      <c r="C39" s="54">
        <f>SUM(C40:C43)</f>
        <v>93600000</v>
      </c>
      <c r="D39" s="54">
        <f t="shared" ref="D39:E39" si="19">SUM(D40:D43)</f>
        <v>32466196</v>
      </c>
      <c r="E39" s="54">
        <f t="shared" si="19"/>
        <v>61133804</v>
      </c>
      <c r="F39" s="55">
        <f t="shared" si="0"/>
        <v>0.34686106837606839</v>
      </c>
      <c r="G39" s="56"/>
      <c r="H39" s="57"/>
      <c r="K39" s="70"/>
    </row>
    <row r="40" spans="1:14" s="7" customFormat="1" ht="14" x14ac:dyDescent="0.15">
      <c r="A40" s="62" t="s">
        <v>70</v>
      </c>
      <c r="B40" s="62" t="s">
        <v>71</v>
      </c>
      <c r="C40" s="63">
        <v>25000000</v>
      </c>
      <c r="D40" s="64">
        <v>22760000</v>
      </c>
      <c r="E40" s="64">
        <f t="shared" si="15"/>
        <v>2240000</v>
      </c>
      <c r="F40" s="65">
        <f t="shared" si="0"/>
        <v>0.91039999999999999</v>
      </c>
      <c r="G40" s="66" t="s">
        <v>18</v>
      </c>
      <c r="H40" s="83"/>
      <c r="K40" s="69"/>
    </row>
    <row r="41" spans="1:14" s="7" customFormat="1" ht="14" x14ac:dyDescent="0.15">
      <c r="A41" s="62" t="s">
        <v>72</v>
      </c>
      <c r="B41" s="62" t="s">
        <v>73</v>
      </c>
      <c r="C41" s="63">
        <v>10000000</v>
      </c>
      <c r="D41" s="64">
        <v>100000</v>
      </c>
      <c r="E41" s="64">
        <f t="shared" si="15"/>
        <v>9900000</v>
      </c>
      <c r="F41" s="65">
        <f t="shared" si="0"/>
        <v>0.01</v>
      </c>
      <c r="G41" s="66" t="s">
        <v>18</v>
      </c>
      <c r="H41" s="67"/>
      <c r="K41" s="69"/>
    </row>
    <row r="42" spans="1:14" s="7" customFormat="1" ht="14" x14ac:dyDescent="0.15">
      <c r="A42" s="62" t="s">
        <v>74</v>
      </c>
      <c r="B42" s="62" t="s">
        <v>75</v>
      </c>
      <c r="C42" s="63"/>
      <c r="D42" s="64">
        <v>4822196</v>
      </c>
      <c r="E42" s="64">
        <f t="shared" si="15"/>
        <v>-4822196</v>
      </c>
      <c r="F42" s="65" t="e">
        <f t="shared" si="0"/>
        <v>#DIV/0!</v>
      </c>
      <c r="G42" s="66" t="s">
        <v>18</v>
      </c>
      <c r="H42" s="67"/>
      <c r="K42" s="69"/>
    </row>
    <row r="43" spans="1:14" s="7" customFormat="1" ht="14" x14ac:dyDescent="0.15">
      <c r="A43" s="62" t="s">
        <v>76</v>
      </c>
      <c r="B43" s="62" t="s">
        <v>77</v>
      </c>
      <c r="C43" s="63">
        <v>58600000</v>
      </c>
      <c r="D43" s="64">
        <v>4784000</v>
      </c>
      <c r="E43" s="64">
        <f t="shared" si="15"/>
        <v>53816000</v>
      </c>
      <c r="F43" s="65">
        <f t="shared" si="0"/>
        <v>8.1638225255972696E-2</v>
      </c>
      <c r="G43" s="66" t="s">
        <v>18</v>
      </c>
      <c r="H43" s="83"/>
      <c r="K43" s="69"/>
    </row>
    <row r="44" spans="1:14" s="52" customFormat="1" ht="15" x14ac:dyDescent="0.15">
      <c r="A44" s="44" t="s">
        <v>78</v>
      </c>
      <c r="B44" s="81" t="s">
        <v>79</v>
      </c>
      <c r="C44" s="45">
        <f>SUM(C45)</f>
        <v>5721559609</v>
      </c>
      <c r="D44" s="45">
        <f t="shared" ref="D44:F45" si="20">SUM(D45)</f>
        <v>3263626800</v>
      </c>
      <c r="E44" s="45">
        <f t="shared" si="20"/>
        <v>2457932809</v>
      </c>
      <c r="F44" s="46">
        <f t="shared" si="20"/>
        <v>0.57040859888382922</v>
      </c>
      <c r="G44" s="47"/>
      <c r="H44" s="48"/>
      <c r="I44" s="49"/>
      <c r="J44" s="50"/>
      <c r="K44" s="48"/>
      <c r="L44" s="48"/>
      <c r="M44" s="51"/>
      <c r="N44" s="50"/>
    </row>
    <row r="45" spans="1:14" s="61" customFormat="1" ht="14" x14ac:dyDescent="0.15">
      <c r="A45" s="53" t="s">
        <v>80</v>
      </c>
      <c r="B45" s="53" t="s">
        <v>81</v>
      </c>
      <c r="C45" s="54">
        <f>SUM(C46)</f>
        <v>5721559609</v>
      </c>
      <c r="D45" s="54">
        <f t="shared" si="20"/>
        <v>3263626800</v>
      </c>
      <c r="E45" s="54">
        <f t="shared" si="20"/>
        <v>2457932809</v>
      </c>
      <c r="F45" s="55">
        <f t="shared" si="20"/>
        <v>0.57040859888382922</v>
      </c>
      <c r="G45" s="56"/>
      <c r="H45" s="57"/>
      <c r="I45" s="58"/>
      <c r="J45" s="59"/>
      <c r="K45" s="57"/>
      <c r="L45" s="57"/>
      <c r="M45" s="60"/>
      <c r="N45" s="59"/>
    </row>
    <row r="46" spans="1:14" s="7" customFormat="1" ht="14" x14ac:dyDescent="0.15">
      <c r="A46" s="62" t="s">
        <v>82</v>
      </c>
      <c r="B46" s="62" t="s">
        <v>81</v>
      </c>
      <c r="C46" s="63">
        <v>5721559609</v>
      </c>
      <c r="D46" s="64">
        <v>3263626800</v>
      </c>
      <c r="E46" s="64">
        <f t="shared" ref="E46:E49" si="21">C46-D46</f>
        <v>2457932809</v>
      </c>
      <c r="F46" s="65">
        <f t="shared" si="0"/>
        <v>0.57040859888382922</v>
      </c>
      <c r="G46" s="66" t="s">
        <v>18</v>
      </c>
      <c r="H46" s="83"/>
      <c r="K46" s="69"/>
    </row>
    <row r="47" spans="1:14" s="52" customFormat="1" ht="14" x14ac:dyDescent="0.15">
      <c r="A47" s="44" t="s">
        <v>83</v>
      </c>
      <c r="B47" s="44" t="s">
        <v>84</v>
      </c>
      <c r="C47" s="45">
        <f>SUM(C48)</f>
        <v>4937602269</v>
      </c>
      <c r="D47" s="45">
        <f t="shared" ref="D47:F48" si="22">SUM(D48)</f>
        <v>1312181300</v>
      </c>
      <c r="E47" s="45">
        <f t="shared" si="22"/>
        <v>3625420969</v>
      </c>
      <c r="F47" s="46">
        <f t="shared" si="22"/>
        <v>0.26575273351568529</v>
      </c>
      <c r="G47" s="47"/>
      <c r="H47" s="50"/>
      <c r="K47" s="71"/>
    </row>
    <row r="48" spans="1:14" s="61" customFormat="1" ht="14" x14ac:dyDescent="0.15">
      <c r="A48" s="53" t="s">
        <v>85</v>
      </c>
      <c r="B48" s="53" t="s">
        <v>86</v>
      </c>
      <c r="C48" s="54">
        <f>SUM(C49)</f>
        <v>4937602269</v>
      </c>
      <c r="D48" s="54">
        <f t="shared" si="22"/>
        <v>1312181300</v>
      </c>
      <c r="E48" s="54">
        <f t="shared" si="22"/>
        <v>3625420969</v>
      </c>
      <c r="F48" s="55">
        <f t="shared" si="22"/>
        <v>0.26575273351568529</v>
      </c>
      <c r="G48" s="56"/>
      <c r="H48" s="59"/>
      <c r="K48" s="70"/>
    </row>
    <row r="49" spans="1:11" s="7" customFormat="1" ht="14" x14ac:dyDescent="0.15">
      <c r="A49" s="62" t="s">
        <v>87</v>
      </c>
      <c r="B49" s="62" t="s">
        <v>86</v>
      </c>
      <c r="C49" s="63">
        <v>4937602269</v>
      </c>
      <c r="D49" s="64">
        <v>1312181300</v>
      </c>
      <c r="E49" s="64">
        <f t="shared" si="21"/>
        <v>3625420969</v>
      </c>
      <c r="F49" s="65">
        <f t="shared" si="0"/>
        <v>0.26575273351568529</v>
      </c>
      <c r="G49" s="66" t="s">
        <v>18</v>
      </c>
      <c r="H49" s="83"/>
      <c r="K49" s="69"/>
    </row>
    <row r="50" spans="1:11" s="91" customFormat="1" ht="14" x14ac:dyDescent="0.15">
      <c r="A50" s="36" t="s">
        <v>88</v>
      </c>
      <c r="B50" s="36" t="s">
        <v>89</v>
      </c>
      <c r="C50" s="87">
        <f>SUM(C51,C60,C73)</f>
        <v>7673112000</v>
      </c>
      <c r="D50" s="87">
        <f>SUM(D51,D60,D73)</f>
        <v>1512212219</v>
      </c>
      <c r="E50" s="87">
        <f>SUM(E51,E60,E73)</f>
        <v>6160899781</v>
      </c>
      <c r="F50" s="88">
        <f t="shared" si="0"/>
        <v>0.19707938825863613</v>
      </c>
      <c r="G50" s="89"/>
      <c r="H50" s="90"/>
      <c r="K50" s="92"/>
    </row>
    <row r="51" spans="1:11" s="52" customFormat="1" ht="14" x14ac:dyDescent="0.15">
      <c r="A51" s="44" t="s">
        <v>90</v>
      </c>
      <c r="B51" s="44" t="s">
        <v>91</v>
      </c>
      <c r="C51" s="45">
        <f>C52+C56+C58</f>
        <v>3290922000</v>
      </c>
      <c r="D51" s="45">
        <f t="shared" ref="D51:E51" si="23">D52+D56+D58</f>
        <v>422072500</v>
      </c>
      <c r="E51" s="45">
        <f t="shared" si="23"/>
        <v>2868849500</v>
      </c>
      <c r="F51" s="46">
        <f t="shared" si="0"/>
        <v>0.12825357149151514</v>
      </c>
      <c r="G51" s="47"/>
      <c r="H51" s="48"/>
      <c r="K51" s="71"/>
    </row>
    <row r="52" spans="1:11" s="61" customFormat="1" ht="14" x14ac:dyDescent="0.15">
      <c r="A52" s="53" t="s">
        <v>92</v>
      </c>
      <c r="B52" s="53" t="s">
        <v>93</v>
      </c>
      <c r="C52" s="54">
        <f>SUM(C53:C55)</f>
        <v>590000000</v>
      </c>
      <c r="D52" s="54">
        <f>SUM(D53:D55)</f>
        <v>79628000</v>
      </c>
      <c r="E52" s="54">
        <f>SUM(E53:E55)</f>
        <v>510372000</v>
      </c>
      <c r="F52" s="55">
        <f>D52/C52</f>
        <v>0.13496271186440678</v>
      </c>
      <c r="G52" s="56" t="s">
        <v>94</v>
      </c>
      <c r="H52" s="57"/>
      <c r="K52" s="70"/>
    </row>
    <row r="53" spans="1:11" s="7" customFormat="1" ht="14" x14ac:dyDescent="0.15">
      <c r="A53" s="62" t="s">
        <v>95</v>
      </c>
      <c r="B53" s="62" t="s">
        <v>96</v>
      </c>
      <c r="C53" s="63">
        <v>25000000</v>
      </c>
      <c r="D53" s="64">
        <v>32616000</v>
      </c>
      <c r="E53" s="64">
        <f t="shared" ref="E53:E55" si="24">C53-D53</f>
        <v>-7616000</v>
      </c>
      <c r="F53" s="65">
        <f t="shared" ref="F53:F64" si="25">D53/C53</f>
        <v>1.30464</v>
      </c>
      <c r="G53" s="66" t="s">
        <v>94</v>
      </c>
      <c r="H53" s="67"/>
      <c r="K53" s="69"/>
    </row>
    <row r="54" spans="1:11" s="7" customFormat="1" ht="14" x14ac:dyDescent="0.15">
      <c r="A54" s="62" t="s">
        <v>97</v>
      </c>
      <c r="B54" s="62" t="s">
        <v>98</v>
      </c>
      <c r="C54" s="63">
        <v>500000000</v>
      </c>
      <c r="D54" s="64">
        <v>15681000</v>
      </c>
      <c r="E54" s="64">
        <f t="shared" si="24"/>
        <v>484319000</v>
      </c>
      <c r="F54" s="65">
        <f t="shared" si="25"/>
        <v>3.1362000000000001E-2</v>
      </c>
      <c r="G54" s="66" t="s">
        <v>94</v>
      </c>
      <c r="H54" s="67"/>
      <c r="K54" s="69"/>
    </row>
    <row r="55" spans="1:11" s="7" customFormat="1" ht="14" x14ac:dyDescent="0.15">
      <c r="A55" s="62" t="s">
        <v>99</v>
      </c>
      <c r="B55" s="62" t="s">
        <v>100</v>
      </c>
      <c r="C55" s="63">
        <v>65000000</v>
      </c>
      <c r="D55" s="64">
        <v>31331000</v>
      </c>
      <c r="E55" s="64">
        <f t="shared" si="24"/>
        <v>33669000</v>
      </c>
      <c r="F55" s="65">
        <f t="shared" si="25"/>
        <v>0.48201538461538462</v>
      </c>
      <c r="G55" s="66" t="s">
        <v>94</v>
      </c>
      <c r="H55" s="67"/>
      <c r="K55" s="69"/>
    </row>
    <row r="56" spans="1:11" s="61" customFormat="1" ht="14" x14ac:dyDescent="0.15">
      <c r="A56" s="53" t="s">
        <v>101</v>
      </c>
      <c r="B56" s="53" t="s">
        <v>102</v>
      </c>
      <c r="C56" s="54">
        <f>SUM(C57)</f>
        <v>1889132000</v>
      </c>
      <c r="D56" s="54">
        <f t="shared" ref="D56:E56" si="26">SUM(D57)</f>
        <v>196688000</v>
      </c>
      <c r="E56" s="54">
        <f t="shared" si="26"/>
        <v>1692444000</v>
      </c>
      <c r="F56" s="55">
        <f t="shared" si="25"/>
        <v>0.10411554089391319</v>
      </c>
      <c r="G56" s="56"/>
      <c r="H56" s="57"/>
      <c r="K56" s="70"/>
    </row>
    <row r="57" spans="1:11" s="7" customFormat="1" ht="14" x14ac:dyDescent="0.15">
      <c r="A57" s="62" t="s">
        <v>103</v>
      </c>
      <c r="B57" s="62" t="s">
        <v>102</v>
      </c>
      <c r="C57" s="63">
        <v>1889132000</v>
      </c>
      <c r="D57" s="64">
        <v>196688000</v>
      </c>
      <c r="E57" s="64">
        <f t="shared" ref="E57:E59" si="27">C57-D57</f>
        <v>1692444000</v>
      </c>
      <c r="F57" s="65">
        <f t="shared" si="25"/>
        <v>0.10411554089391319</v>
      </c>
      <c r="G57" s="66" t="s">
        <v>104</v>
      </c>
      <c r="H57" s="67"/>
      <c r="K57" s="69"/>
    </row>
    <row r="58" spans="1:11" s="7" customFormat="1" ht="14" x14ac:dyDescent="0.15">
      <c r="A58" s="62" t="s">
        <v>105</v>
      </c>
      <c r="B58" s="62" t="s">
        <v>106</v>
      </c>
      <c r="C58" s="63">
        <f>SUM(C59)</f>
        <v>811790000</v>
      </c>
      <c r="D58" s="63">
        <f t="shared" ref="D58:E58" si="28">SUM(D59)</f>
        <v>145756500</v>
      </c>
      <c r="E58" s="63">
        <f t="shared" si="28"/>
        <v>666033500</v>
      </c>
      <c r="F58" s="65">
        <f t="shared" si="25"/>
        <v>0.17954951403688146</v>
      </c>
      <c r="G58" s="66"/>
      <c r="H58" s="67"/>
      <c r="K58" s="69"/>
    </row>
    <row r="59" spans="1:11" s="7" customFormat="1" ht="14" x14ac:dyDescent="0.15">
      <c r="A59" s="62" t="s">
        <v>107</v>
      </c>
      <c r="B59" s="62" t="s">
        <v>108</v>
      </c>
      <c r="C59" s="63">
        <v>811790000</v>
      </c>
      <c r="D59" s="64">
        <v>145756500</v>
      </c>
      <c r="E59" s="64">
        <f t="shared" si="27"/>
        <v>666033500</v>
      </c>
      <c r="F59" s="65">
        <f t="shared" si="25"/>
        <v>0.17954951403688146</v>
      </c>
      <c r="G59" s="66" t="s">
        <v>109</v>
      </c>
      <c r="H59" s="67"/>
      <c r="I59" s="93"/>
      <c r="J59" s="69"/>
      <c r="K59" s="69"/>
    </row>
    <row r="60" spans="1:11" s="52" customFormat="1" ht="14" x14ac:dyDescent="0.15">
      <c r="A60" s="44" t="s">
        <v>110</v>
      </c>
      <c r="B60" s="44" t="s">
        <v>111</v>
      </c>
      <c r="C60" s="45">
        <f>C61+C65+C67+C69+C71</f>
        <v>3977359000</v>
      </c>
      <c r="D60" s="45">
        <f t="shared" ref="D60:E60" si="29">D61+D65+D67+D69+D71</f>
        <v>1074945314</v>
      </c>
      <c r="E60" s="45">
        <f t="shared" si="29"/>
        <v>2902413686</v>
      </c>
      <c r="F60" s="46">
        <f t="shared" si="25"/>
        <v>0.27026610220500591</v>
      </c>
      <c r="G60" s="47"/>
      <c r="H60" s="48"/>
      <c r="K60" s="71"/>
    </row>
    <row r="61" spans="1:11" s="61" customFormat="1" ht="14" x14ac:dyDescent="0.15">
      <c r="A61" s="53" t="s">
        <v>112</v>
      </c>
      <c r="B61" s="53" t="s">
        <v>113</v>
      </c>
      <c r="C61" s="54">
        <f>SUM(C62:C64)</f>
        <v>1456400000</v>
      </c>
      <c r="D61" s="54">
        <f>SUM(D62:D64)</f>
        <v>513724314</v>
      </c>
      <c r="E61" s="54">
        <f>SUM(E62:E64)</f>
        <v>942675686</v>
      </c>
      <c r="F61" s="55">
        <f t="shared" si="25"/>
        <v>0.35273572782202689</v>
      </c>
      <c r="G61" s="56"/>
      <c r="H61" s="57"/>
      <c r="K61" s="70"/>
    </row>
    <row r="62" spans="1:11" s="7" customFormat="1" ht="14" x14ac:dyDescent="0.15">
      <c r="A62" s="62" t="s">
        <v>114</v>
      </c>
      <c r="B62" s="62" t="s">
        <v>115</v>
      </c>
      <c r="C62" s="63">
        <v>429400000</v>
      </c>
      <c r="D62" s="64">
        <v>410260000</v>
      </c>
      <c r="E62" s="64">
        <f t="shared" ref="E62:E64" si="30">C62-D62</f>
        <v>19140000</v>
      </c>
      <c r="F62" s="65">
        <f t="shared" si="25"/>
        <v>0.9554261760596181</v>
      </c>
      <c r="G62" s="66" t="s">
        <v>18</v>
      </c>
      <c r="H62" s="67"/>
      <c r="K62" s="69"/>
    </row>
    <row r="63" spans="1:11" s="7" customFormat="1" ht="14" x14ac:dyDescent="0.15">
      <c r="A63" s="62" t="s">
        <v>116</v>
      </c>
      <c r="B63" s="62" t="s">
        <v>117</v>
      </c>
      <c r="C63" s="63">
        <v>20000000</v>
      </c>
      <c r="D63" s="64">
        <v>46950000</v>
      </c>
      <c r="E63" s="64">
        <f t="shared" si="30"/>
        <v>-26950000</v>
      </c>
      <c r="F63" s="65">
        <f t="shared" si="25"/>
        <v>2.3475000000000001</v>
      </c>
      <c r="G63" s="66" t="s">
        <v>118</v>
      </c>
      <c r="H63" s="67"/>
      <c r="K63" s="69"/>
    </row>
    <row r="64" spans="1:11" s="7" customFormat="1" ht="14" x14ac:dyDescent="0.15">
      <c r="A64" s="62" t="s">
        <v>119</v>
      </c>
      <c r="B64" s="62" t="s">
        <v>120</v>
      </c>
      <c r="C64" s="63">
        <v>1007000000</v>
      </c>
      <c r="D64" s="64">
        <v>56514314</v>
      </c>
      <c r="E64" s="64">
        <f t="shared" si="30"/>
        <v>950485686</v>
      </c>
      <c r="F64" s="65">
        <f t="shared" si="25"/>
        <v>5.6121463753723934E-2</v>
      </c>
      <c r="G64" s="66" t="s">
        <v>121</v>
      </c>
      <c r="H64" s="67"/>
      <c r="K64" s="69"/>
    </row>
    <row r="65" spans="1:11" s="61" customFormat="1" ht="14" x14ac:dyDescent="0.15">
      <c r="A65" s="53" t="s">
        <v>122</v>
      </c>
      <c r="B65" s="53" t="s">
        <v>123</v>
      </c>
      <c r="C65" s="54">
        <f>SUM(C66)</f>
        <v>1780606000</v>
      </c>
      <c r="D65" s="54">
        <f t="shared" ref="D65:F65" si="31">SUM(D66)</f>
        <v>233841000</v>
      </c>
      <c r="E65" s="54">
        <f t="shared" si="31"/>
        <v>1546765000</v>
      </c>
      <c r="F65" s="55">
        <f t="shared" si="31"/>
        <v>0.13132663823439886</v>
      </c>
      <c r="G65" s="56"/>
      <c r="H65" s="57"/>
      <c r="K65" s="70"/>
    </row>
    <row r="66" spans="1:11" s="7" customFormat="1" ht="14.25" customHeight="1" x14ac:dyDescent="0.15">
      <c r="A66" s="62" t="s">
        <v>124</v>
      </c>
      <c r="B66" s="62" t="s">
        <v>125</v>
      </c>
      <c r="C66" s="63">
        <v>1780606000</v>
      </c>
      <c r="D66" s="64">
        <v>233841000</v>
      </c>
      <c r="E66" s="64">
        <f t="shared" ref="E66:E72" si="32">C66-D66</f>
        <v>1546765000</v>
      </c>
      <c r="F66" s="65">
        <f t="shared" ref="F66:F72" si="33">D66/C66</f>
        <v>0.13132663823439886</v>
      </c>
      <c r="G66" s="66" t="s">
        <v>126</v>
      </c>
      <c r="H66" s="67"/>
      <c r="I66" s="69"/>
      <c r="J66" s="69"/>
      <c r="K66" s="69"/>
    </row>
    <row r="67" spans="1:11" s="61" customFormat="1" ht="14.25" customHeight="1" x14ac:dyDescent="0.15">
      <c r="A67" s="53" t="s">
        <v>127</v>
      </c>
      <c r="B67" s="53" t="s">
        <v>128</v>
      </c>
      <c r="C67" s="54">
        <f>SUM(C68)</f>
        <v>400700000</v>
      </c>
      <c r="D67" s="54">
        <f t="shared" ref="D67:F67" si="34">SUM(D68)</f>
        <v>111460000</v>
      </c>
      <c r="E67" s="54">
        <f t="shared" si="34"/>
        <v>289240000</v>
      </c>
      <c r="F67" s="55">
        <f t="shared" si="34"/>
        <v>0.27816321437484404</v>
      </c>
      <c r="G67" s="56"/>
      <c r="H67" s="57"/>
      <c r="I67" s="70"/>
      <c r="J67" s="70"/>
      <c r="K67" s="70"/>
    </row>
    <row r="68" spans="1:11" s="7" customFormat="1" ht="14" x14ac:dyDescent="0.15">
      <c r="A68" s="62" t="s">
        <v>129</v>
      </c>
      <c r="B68" s="62" t="s">
        <v>130</v>
      </c>
      <c r="C68" s="63">
        <v>400700000</v>
      </c>
      <c r="D68" s="64">
        <v>111460000</v>
      </c>
      <c r="E68" s="64">
        <f t="shared" si="32"/>
        <v>289240000</v>
      </c>
      <c r="F68" s="65">
        <f t="shared" si="33"/>
        <v>0.27816321437484404</v>
      </c>
      <c r="G68" s="66" t="s">
        <v>109</v>
      </c>
      <c r="H68" s="67"/>
      <c r="K68" s="69"/>
    </row>
    <row r="69" spans="1:11" s="61" customFormat="1" ht="15" x14ac:dyDescent="0.15">
      <c r="A69" s="53" t="s">
        <v>131</v>
      </c>
      <c r="B69" s="82" t="s">
        <v>132</v>
      </c>
      <c r="C69" s="54">
        <f>SUM(C70)</f>
        <v>88804000</v>
      </c>
      <c r="D69" s="54">
        <f t="shared" ref="D69:F69" si="35">SUM(D70)</f>
        <v>13300000</v>
      </c>
      <c r="E69" s="54">
        <f t="shared" si="35"/>
        <v>75504000</v>
      </c>
      <c r="F69" s="55">
        <f t="shared" si="35"/>
        <v>0.14976802846718618</v>
      </c>
      <c r="G69" s="56"/>
      <c r="H69" s="57"/>
      <c r="K69" s="70"/>
    </row>
    <row r="70" spans="1:11" s="7" customFormat="1" ht="14" x14ac:dyDescent="0.15">
      <c r="A70" s="62" t="s">
        <v>133</v>
      </c>
      <c r="B70" s="62" t="s">
        <v>134</v>
      </c>
      <c r="C70" s="63">
        <v>88804000</v>
      </c>
      <c r="D70" s="64">
        <v>13300000</v>
      </c>
      <c r="E70" s="64">
        <f t="shared" si="32"/>
        <v>75504000</v>
      </c>
      <c r="F70" s="65">
        <f t="shared" si="33"/>
        <v>0.14976802846718618</v>
      </c>
      <c r="G70" s="66" t="s">
        <v>135</v>
      </c>
      <c r="H70" s="67"/>
      <c r="K70" s="69"/>
    </row>
    <row r="71" spans="1:11" s="61" customFormat="1" ht="14" x14ac:dyDescent="0.15">
      <c r="A71" s="53" t="s">
        <v>136</v>
      </c>
      <c r="B71" s="53" t="s">
        <v>137</v>
      </c>
      <c r="C71" s="54">
        <f>SUM(C72)</f>
        <v>250849000</v>
      </c>
      <c r="D71" s="54">
        <f t="shared" ref="D71:F71" si="36">SUM(D72)</f>
        <v>202620000</v>
      </c>
      <c r="E71" s="54">
        <f t="shared" si="36"/>
        <v>48229000</v>
      </c>
      <c r="F71" s="55">
        <f t="shared" si="36"/>
        <v>0.80773692540133701</v>
      </c>
      <c r="G71" s="56"/>
      <c r="H71" s="57"/>
      <c r="K71" s="70"/>
    </row>
    <row r="72" spans="1:11" s="7" customFormat="1" ht="14" x14ac:dyDescent="0.15">
      <c r="A72" s="62" t="s">
        <v>138</v>
      </c>
      <c r="B72" s="62" t="s">
        <v>139</v>
      </c>
      <c r="C72" s="63">
        <v>250849000</v>
      </c>
      <c r="D72" s="64">
        <v>202620000</v>
      </c>
      <c r="E72" s="64">
        <f t="shared" si="32"/>
        <v>48229000</v>
      </c>
      <c r="F72" s="65">
        <f t="shared" si="33"/>
        <v>0.80773692540133701</v>
      </c>
      <c r="G72" s="66" t="s">
        <v>140</v>
      </c>
      <c r="H72" s="67"/>
      <c r="K72" s="69"/>
    </row>
    <row r="73" spans="1:11" s="95" customFormat="1" ht="14" x14ac:dyDescent="0.15">
      <c r="A73" s="44" t="s">
        <v>141</v>
      </c>
      <c r="B73" s="44" t="s">
        <v>142</v>
      </c>
      <c r="C73" s="45">
        <f>SUM(C74:C74)</f>
        <v>404831000</v>
      </c>
      <c r="D73" s="45">
        <f>SUM(D74:D74)</f>
        <v>15194405</v>
      </c>
      <c r="E73" s="45">
        <f>SUM(E74:E74)</f>
        <v>389636595</v>
      </c>
      <c r="F73" s="46">
        <f>D73/C73</f>
        <v>3.7532711180714919E-2</v>
      </c>
      <c r="G73" s="47"/>
      <c r="H73" s="94"/>
      <c r="K73" s="96"/>
    </row>
    <row r="74" spans="1:11" s="98" customFormat="1" ht="14" x14ac:dyDescent="0.15">
      <c r="A74" s="62" t="s">
        <v>143</v>
      </c>
      <c r="B74" s="62" t="s">
        <v>144</v>
      </c>
      <c r="C74" s="63">
        <v>404831000</v>
      </c>
      <c r="D74" s="64">
        <v>15194405</v>
      </c>
      <c r="E74" s="64">
        <f>C74-D74</f>
        <v>389636595</v>
      </c>
      <c r="F74" s="65">
        <f>D74/C74</f>
        <v>3.7532711180714919E-2</v>
      </c>
      <c r="G74" s="66" t="s">
        <v>121</v>
      </c>
      <c r="H74" s="97"/>
      <c r="K74" s="99"/>
    </row>
    <row r="75" spans="1:11" s="101" customFormat="1" ht="14" x14ac:dyDescent="0.15">
      <c r="A75" s="36" t="s">
        <v>145</v>
      </c>
      <c r="B75" s="36" t="s">
        <v>146</v>
      </c>
      <c r="C75" s="87">
        <f>SUM(C76)</f>
        <v>12000000000</v>
      </c>
      <c r="D75" s="87">
        <f t="shared" ref="D75:F77" si="37">SUM(D76)</f>
        <v>12674609832.459999</v>
      </c>
      <c r="E75" s="87">
        <f t="shared" si="37"/>
        <v>-674609832.45999908</v>
      </c>
      <c r="F75" s="88">
        <f t="shared" si="37"/>
        <v>1.0562174860383333</v>
      </c>
      <c r="G75" s="89"/>
      <c r="H75" s="100"/>
      <c r="K75" s="102"/>
    </row>
    <row r="76" spans="1:11" s="95" customFormat="1" ht="30" x14ac:dyDescent="0.15">
      <c r="A76" s="44" t="s">
        <v>147</v>
      </c>
      <c r="B76" s="103" t="s">
        <v>148</v>
      </c>
      <c r="C76" s="45">
        <f>SUM(C77)</f>
        <v>12000000000</v>
      </c>
      <c r="D76" s="45">
        <f t="shared" si="37"/>
        <v>12674609832.459999</v>
      </c>
      <c r="E76" s="45">
        <f t="shared" si="37"/>
        <v>-674609832.45999908</v>
      </c>
      <c r="F76" s="46">
        <f t="shared" si="37"/>
        <v>1.0562174860383333</v>
      </c>
      <c r="G76" s="47"/>
      <c r="H76" s="94"/>
      <c r="K76" s="96"/>
    </row>
    <row r="77" spans="1:11" s="106" customFormat="1" ht="30" x14ac:dyDescent="0.15">
      <c r="A77" s="53" t="s">
        <v>149</v>
      </c>
      <c r="B77" s="104" t="s">
        <v>150</v>
      </c>
      <c r="C77" s="54">
        <f>SUM(C78)</f>
        <v>12000000000</v>
      </c>
      <c r="D77" s="54">
        <f t="shared" si="37"/>
        <v>12674609832.459999</v>
      </c>
      <c r="E77" s="54">
        <f t="shared" si="37"/>
        <v>-674609832.45999908</v>
      </c>
      <c r="F77" s="55">
        <f t="shared" si="37"/>
        <v>1.0562174860383333</v>
      </c>
      <c r="G77" s="56"/>
      <c r="H77" s="105"/>
      <c r="K77" s="107"/>
    </row>
    <row r="78" spans="1:11" s="98" customFormat="1" ht="30" x14ac:dyDescent="0.15">
      <c r="A78" s="62" t="s">
        <v>151</v>
      </c>
      <c r="B78" s="108" t="s">
        <v>150</v>
      </c>
      <c r="C78" s="63">
        <v>12000000000</v>
      </c>
      <c r="D78" s="64">
        <v>12674609832.459999</v>
      </c>
      <c r="E78" s="64">
        <f t="shared" ref="E78" si="38">C78-D78</f>
        <v>-674609832.45999908</v>
      </c>
      <c r="F78" s="65">
        <f>D78/C78</f>
        <v>1.0562174860383333</v>
      </c>
      <c r="G78" s="66" t="s">
        <v>152</v>
      </c>
      <c r="H78" s="97"/>
      <c r="K78" s="99"/>
    </row>
    <row r="79" spans="1:11" s="101" customFormat="1" ht="14" x14ac:dyDescent="0.15">
      <c r="A79" s="36" t="s">
        <v>153</v>
      </c>
      <c r="B79" s="36" t="s">
        <v>154</v>
      </c>
      <c r="C79" s="87">
        <f>C80+C83+C86+C89+C95</f>
        <v>62692448251</v>
      </c>
      <c r="D79" s="87">
        <f t="shared" ref="D79:E79" si="39">D80+D83+D86+D89+D95</f>
        <v>30399839680.109997</v>
      </c>
      <c r="E79" s="87">
        <f t="shared" si="39"/>
        <v>32292608570.889999</v>
      </c>
      <c r="F79" s="88">
        <f>D79/C79</f>
        <v>0.48490433103519914</v>
      </c>
      <c r="G79" s="89"/>
      <c r="H79" s="100"/>
      <c r="K79" s="102"/>
    </row>
    <row r="80" spans="1:11" s="95" customFormat="1" ht="15" x14ac:dyDescent="0.15">
      <c r="A80" s="44" t="s">
        <v>155</v>
      </c>
      <c r="B80" s="81" t="s">
        <v>156</v>
      </c>
      <c r="C80" s="45">
        <f>SUM(C81)</f>
        <v>354000000</v>
      </c>
      <c r="D80" s="45">
        <f t="shared" ref="D80:E81" si="40">SUM(D81)</f>
        <v>5000000</v>
      </c>
      <c r="E80" s="45">
        <f t="shared" si="40"/>
        <v>349000000</v>
      </c>
      <c r="F80" s="46">
        <f>D80/C80</f>
        <v>1.4124293785310734E-2</v>
      </c>
      <c r="G80" s="47"/>
      <c r="H80" s="94"/>
      <c r="K80" s="96"/>
    </row>
    <row r="81" spans="1:11" s="106" customFormat="1" ht="15" x14ac:dyDescent="0.15">
      <c r="A81" s="53" t="s">
        <v>157</v>
      </c>
      <c r="B81" s="82" t="s">
        <v>158</v>
      </c>
      <c r="C81" s="54">
        <f>SUM(C82)</f>
        <v>354000000</v>
      </c>
      <c r="D81" s="54">
        <f t="shared" si="40"/>
        <v>5000000</v>
      </c>
      <c r="E81" s="54">
        <f t="shared" si="40"/>
        <v>349000000</v>
      </c>
      <c r="F81" s="55">
        <f>D81/C81</f>
        <v>1.4124293785310734E-2</v>
      </c>
      <c r="G81" s="56"/>
      <c r="H81" s="105"/>
      <c r="K81" s="107"/>
    </row>
    <row r="82" spans="1:11" s="98" customFormat="1" ht="14" x14ac:dyDescent="0.15">
      <c r="A82" s="62" t="s">
        <v>159</v>
      </c>
      <c r="B82" s="62" t="s">
        <v>160</v>
      </c>
      <c r="C82" s="63">
        <v>354000000</v>
      </c>
      <c r="D82" s="64">
        <v>5000000</v>
      </c>
      <c r="E82" s="64">
        <f t="shared" ref="E82:E88" si="41">C82-D82</f>
        <v>349000000</v>
      </c>
      <c r="F82" s="65">
        <f t="shared" ref="F82:F96" si="42">D82/C82</f>
        <v>1.4124293785310734E-2</v>
      </c>
      <c r="G82" s="66" t="s">
        <v>152</v>
      </c>
      <c r="H82" s="97"/>
      <c r="K82" s="99"/>
    </row>
    <row r="83" spans="1:11" s="95" customFormat="1" ht="15" x14ac:dyDescent="0.15">
      <c r="A83" s="44" t="s">
        <v>161</v>
      </c>
      <c r="B83" s="81" t="s">
        <v>162</v>
      </c>
      <c r="C83" s="45">
        <f>SUM(C84)</f>
        <v>1000000000</v>
      </c>
      <c r="D83" s="45">
        <f t="shared" ref="D83:E84" si="43">SUM(D84)</f>
        <v>282413503.11000001</v>
      </c>
      <c r="E83" s="45">
        <f t="shared" si="43"/>
        <v>717586496.88999999</v>
      </c>
      <c r="F83" s="46">
        <f t="shared" si="42"/>
        <v>0.28241350311000002</v>
      </c>
      <c r="G83" s="47"/>
      <c r="H83" s="94"/>
      <c r="K83" s="96"/>
    </row>
    <row r="84" spans="1:11" s="106" customFormat="1" ht="15" x14ac:dyDescent="0.15">
      <c r="A84" s="53" t="s">
        <v>163</v>
      </c>
      <c r="B84" s="82" t="s">
        <v>164</v>
      </c>
      <c r="C84" s="54">
        <f>SUM(C85)</f>
        <v>1000000000</v>
      </c>
      <c r="D84" s="54">
        <f t="shared" si="43"/>
        <v>282413503.11000001</v>
      </c>
      <c r="E84" s="54">
        <f t="shared" si="43"/>
        <v>717586496.88999999</v>
      </c>
      <c r="F84" s="55">
        <f t="shared" si="42"/>
        <v>0.28241350311000002</v>
      </c>
      <c r="G84" s="56"/>
      <c r="H84" s="105"/>
      <c r="K84" s="107"/>
    </row>
    <row r="85" spans="1:11" s="98" customFormat="1" ht="14" x14ac:dyDescent="0.15">
      <c r="A85" s="62" t="s">
        <v>165</v>
      </c>
      <c r="B85" s="62" t="s">
        <v>166</v>
      </c>
      <c r="C85" s="63">
        <v>1000000000</v>
      </c>
      <c r="D85" s="64">
        <v>282413503.11000001</v>
      </c>
      <c r="E85" s="64">
        <f t="shared" si="41"/>
        <v>717586496.88999999</v>
      </c>
      <c r="F85" s="65">
        <f t="shared" si="42"/>
        <v>0.28241350311000002</v>
      </c>
      <c r="G85" s="66" t="s">
        <v>152</v>
      </c>
      <c r="H85" s="97"/>
      <c r="K85" s="99"/>
    </row>
    <row r="86" spans="1:11" s="95" customFormat="1" ht="15" x14ac:dyDescent="0.15">
      <c r="A86" s="44" t="s">
        <v>167</v>
      </c>
      <c r="B86" s="81" t="s">
        <v>168</v>
      </c>
      <c r="C86" s="45">
        <f>SUM(C87)</f>
        <v>2500000000</v>
      </c>
      <c r="D86" s="45">
        <f t="shared" ref="D86:E87" si="44">SUM(D87)</f>
        <v>4190410.92</v>
      </c>
      <c r="E86" s="45">
        <f t="shared" si="44"/>
        <v>2495809589.0799999</v>
      </c>
      <c r="F86" s="46">
        <f t="shared" si="42"/>
        <v>1.676164368E-3</v>
      </c>
      <c r="G86" s="47"/>
      <c r="H86" s="94"/>
      <c r="K86" s="96"/>
    </row>
    <row r="87" spans="1:11" s="98" customFormat="1" ht="15" x14ac:dyDescent="0.15">
      <c r="A87" s="62" t="s">
        <v>169</v>
      </c>
      <c r="B87" s="109" t="s">
        <v>170</v>
      </c>
      <c r="C87" s="63">
        <f>SUM(C88)</f>
        <v>2500000000</v>
      </c>
      <c r="D87" s="63">
        <f t="shared" si="44"/>
        <v>4190410.92</v>
      </c>
      <c r="E87" s="63">
        <f t="shared" si="44"/>
        <v>2495809589.0799999</v>
      </c>
      <c r="F87" s="65">
        <f t="shared" si="42"/>
        <v>1.676164368E-3</v>
      </c>
      <c r="G87" s="66"/>
      <c r="H87" s="97"/>
      <c r="K87" s="99"/>
    </row>
    <row r="88" spans="1:11" s="98" customFormat="1" ht="14" x14ac:dyDescent="0.15">
      <c r="A88" s="62" t="s">
        <v>171</v>
      </c>
      <c r="B88" s="62" t="s">
        <v>172</v>
      </c>
      <c r="C88" s="63">
        <v>2500000000</v>
      </c>
      <c r="D88" s="64">
        <v>4190410.92</v>
      </c>
      <c r="E88" s="64">
        <f t="shared" si="41"/>
        <v>2495809589.0799999</v>
      </c>
      <c r="F88" s="65">
        <f t="shared" si="42"/>
        <v>1.676164368E-3</v>
      </c>
      <c r="G88" s="66" t="s">
        <v>152</v>
      </c>
      <c r="H88" s="97"/>
      <c r="K88" s="99"/>
    </row>
    <row r="89" spans="1:11" s="95" customFormat="1" ht="14" x14ac:dyDescent="0.15">
      <c r="A89" s="44" t="s">
        <v>173</v>
      </c>
      <c r="B89" s="44" t="s">
        <v>174</v>
      </c>
      <c r="C89" s="45">
        <f>C90+C93</f>
        <v>5250781000</v>
      </c>
      <c r="D89" s="45">
        <f t="shared" ref="D89:E89" si="45">D90+D93</f>
        <v>2189813732.5</v>
      </c>
      <c r="E89" s="45">
        <f t="shared" si="45"/>
        <v>3060967267.4999995</v>
      </c>
      <c r="F89" s="46">
        <f t="shared" si="42"/>
        <v>0.41704533716031955</v>
      </c>
      <c r="G89" s="47"/>
      <c r="H89" s="94"/>
      <c r="K89" s="96"/>
    </row>
    <row r="90" spans="1:11" s="106" customFormat="1" ht="14" x14ac:dyDescent="0.15">
      <c r="A90" s="53" t="s">
        <v>175</v>
      </c>
      <c r="B90" s="53" t="s">
        <v>176</v>
      </c>
      <c r="C90" s="54">
        <f>SUM(C91:C92)</f>
        <v>5200000000</v>
      </c>
      <c r="D90" s="54">
        <f t="shared" ref="D90:E90" si="46">SUM(D91:D92)</f>
        <v>2152332312.5</v>
      </c>
      <c r="E90" s="54">
        <f t="shared" si="46"/>
        <v>3047667687.4999995</v>
      </c>
      <c r="F90" s="55">
        <f t="shared" si="42"/>
        <v>0.41391006009615383</v>
      </c>
      <c r="G90" s="56"/>
      <c r="H90" s="105"/>
      <c r="K90" s="107"/>
    </row>
    <row r="91" spans="1:11" s="98" customFormat="1" ht="14" x14ac:dyDescent="0.15">
      <c r="A91" s="62" t="s">
        <v>177</v>
      </c>
      <c r="B91" s="62" t="s">
        <v>178</v>
      </c>
      <c r="C91" s="63">
        <v>200000000</v>
      </c>
      <c r="D91" s="64">
        <v>546576242.61000001</v>
      </c>
      <c r="E91" s="64">
        <f t="shared" ref="E91:E94" si="47">C91-D91</f>
        <v>-346576242.61000001</v>
      </c>
      <c r="F91" s="65">
        <f t="shared" si="42"/>
        <v>2.7328812130500002</v>
      </c>
      <c r="G91" s="66" t="s">
        <v>18</v>
      </c>
      <c r="H91" s="97"/>
      <c r="K91" s="99"/>
    </row>
    <row r="92" spans="1:11" s="98" customFormat="1" ht="14" x14ac:dyDescent="0.15">
      <c r="A92" s="62" t="s">
        <v>179</v>
      </c>
      <c r="B92" s="62" t="s">
        <v>180</v>
      </c>
      <c r="C92" s="63">
        <v>5000000000</v>
      </c>
      <c r="D92" s="64">
        <v>1605756069.8900001</v>
      </c>
      <c r="E92" s="64">
        <f t="shared" si="47"/>
        <v>3394243930.1099997</v>
      </c>
      <c r="F92" s="65">
        <f t="shared" si="42"/>
        <v>0.32115121397800001</v>
      </c>
      <c r="G92" s="66" t="s">
        <v>18</v>
      </c>
      <c r="H92" s="97"/>
      <c r="K92" s="99"/>
    </row>
    <row r="93" spans="1:11" s="106" customFormat="1" ht="15" x14ac:dyDescent="0.15">
      <c r="A93" s="53" t="s">
        <v>181</v>
      </c>
      <c r="B93" s="82" t="s">
        <v>182</v>
      </c>
      <c r="C93" s="54">
        <f>SUM(C94)</f>
        <v>50781000</v>
      </c>
      <c r="D93" s="54">
        <f t="shared" ref="D93:E93" si="48">SUM(D94)</f>
        <v>37481420</v>
      </c>
      <c r="E93" s="54">
        <f t="shared" si="48"/>
        <v>13299580</v>
      </c>
      <c r="F93" s="55">
        <f t="shared" si="42"/>
        <v>0.73809928910419254</v>
      </c>
      <c r="G93" s="56"/>
      <c r="H93" s="105"/>
      <c r="K93" s="107"/>
    </row>
    <row r="94" spans="1:11" s="98" customFormat="1" ht="14" x14ac:dyDescent="0.15">
      <c r="A94" s="62" t="s">
        <v>183</v>
      </c>
      <c r="B94" s="62" t="s">
        <v>184</v>
      </c>
      <c r="C94" s="63">
        <v>50781000</v>
      </c>
      <c r="D94" s="64">
        <v>37481420</v>
      </c>
      <c r="E94" s="64">
        <f t="shared" si="47"/>
        <v>13299580</v>
      </c>
      <c r="F94" s="65">
        <f t="shared" si="42"/>
        <v>0.73809928910419254</v>
      </c>
      <c r="G94" s="66" t="s">
        <v>18</v>
      </c>
      <c r="H94" s="97"/>
      <c r="K94" s="99"/>
    </row>
    <row r="95" spans="1:11" s="95" customFormat="1" ht="15" x14ac:dyDescent="0.15">
      <c r="A95" s="44" t="s">
        <v>185</v>
      </c>
      <c r="B95" s="81" t="s">
        <v>186</v>
      </c>
      <c r="C95" s="45">
        <f>SUM(C96)</f>
        <v>53587667251</v>
      </c>
      <c r="D95" s="45">
        <f t="shared" ref="D95:E96" si="49">SUM(D96)</f>
        <v>27918422033.579998</v>
      </c>
      <c r="E95" s="45">
        <f t="shared" si="49"/>
        <v>25669245217.420002</v>
      </c>
      <c r="F95" s="46">
        <f t="shared" si="42"/>
        <v>0.52098595564558769</v>
      </c>
      <c r="G95" s="47"/>
      <c r="H95" s="94"/>
      <c r="K95" s="96"/>
    </row>
    <row r="96" spans="1:11" s="106" customFormat="1" ht="15" x14ac:dyDescent="0.15">
      <c r="A96" s="53" t="s">
        <v>187</v>
      </c>
      <c r="B96" s="82" t="s">
        <v>188</v>
      </c>
      <c r="C96" s="54">
        <f>SUM(C97)</f>
        <v>53587667251</v>
      </c>
      <c r="D96" s="54">
        <f t="shared" si="49"/>
        <v>27918422033.579998</v>
      </c>
      <c r="E96" s="54">
        <f t="shared" si="49"/>
        <v>25669245217.420002</v>
      </c>
      <c r="F96" s="55">
        <f t="shared" si="42"/>
        <v>0.52098595564558769</v>
      </c>
      <c r="G96" s="56"/>
      <c r="H96" s="105"/>
      <c r="K96" s="107"/>
    </row>
    <row r="97" spans="1:11" s="98" customFormat="1" ht="15" x14ac:dyDescent="0.15">
      <c r="A97" s="62" t="s">
        <v>189</v>
      </c>
      <c r="B97" s="109" t="s">
        <v>188</v>
      </c>
      <c r="C97" s="63">
        <f>SUM(C98:C104)</f>
        <v>53587667251</v>
      </c>
      <c r="D97" s="63">
        <f>SUM(D98:D104)</f>
        <v>27918422033.579998</v>
      </c>
      <c r="E97" s="63">
        <f>SUM(E98:E104)</f>
        <v>25669245217.420002</v>
      </c>
      <c r="F97" s="65">
        <f>D97/C97</f>
        <v>0.52098595564558769</v>
      </c>
      <c r="G97" s="66"/>
      <c r="H97" s="97"/>
      <c r="K97" s="99"/>
    </row>
    <row r="98" spans="1:11" s="98" customFormat="1" ht="14" x14ac:dyDescent="0.15">
      <c r="A98" s="62"/>
      <c r="B98" s="62" t="s">
        <v>190</v>
      </c>
      <c r="C98" s="63">
        <v>50000000000</v>
      </c>
      <c r="D98" s="64">
        <v>24920743471.579998</v>
      </c>
      <c r="E98" s="64">
        <f t="shared" ref="E98:E104" si="50">C98-D98</f>
        <v>25079256528.420002</v>
      </c>
      <c r="F98" s="65">
        <f t="shared" ref="F98:F104" si="51">D98/C98</f>
        <v>0.49841486943159996</v>
      </c>
      <c r="G98" s="66" t="s">
        <v>191</v>
      </c>
      <c r="H98" s="110"/>
      <c r="K98" s="99"/>
    </row>
    <row r="99" spans="1:11" s="98" customFormat="1" ht="14" x14ac:dyDescent="0.15">
      <c r="A99" s="62"/>
      <c r="B99" s="62" t="s">
        <v>192</v>
      </c>
      <c r="C99" s="63">
        <v>563442455</v>
      </c>
      <c r="D99" s="64">
        <v>397396911</v>
      </c>
      <c r="E99" s="64">
        <f t="shared" si="50"/>
        <v>166045544</v>
      </c>
      <c r="F99" s="65">
        <f t="shared" si="51"/>
        <v>0.70530168160650941</v>
      </c>
      <c r="G99" s="66" t="s">
        <v>193</v>
      </c>
      <c r="H99" s="111"/>
      <c r="K99" s="99"/>
    </row>
    <row r="100" spans="1:11" s="98" customFormat="1" ht="14" x14ac:dyDescent="0.15">
      <c r="A100" s="62"/>
      <c r="B100" s="62" t="s">
        <v>194</v>
      </c>
      <c r="C100" s="63">
        <v>534596527</v>
      </c>
      <c r="D100" s="64">
        <v>395014468</v>
      </c>
      <c r="E100" s="64">
        <f t="shared" si="50"/>
        <v>139582059</v>
      </c>
      <c r="F100" s="65">
        <f t="shared" si="51"/>
        <v>0.73890204677667126</v>
      </c>
      <c r="G100" s="66" t="s">
        <v>195</v>
      </c>
      <c r="H100" s="111"/>
      <c r="K100" s="99"/>
    </row>
    <row r="101" spans="1:11" s="98" customFormat="1" ht="14" x14ac:dyDescent="0.15">
      <c r="A101" s="62"/>
      <c r="B101" s="62" t="s">
        <v>196</v>
      </c>
      <c r="C101" s="63">
        <v>467908257</v>
      </c>
      <c r="D101" s="64">
        <v>661868652</v>
      </c>
      <c r="E101" s="64">
        <f t="shared" si="50"/>
        <v>-193960395</v>
      </c>
      <c r="F101" s="65">
        <f t="shared" si="51"/>
        <v>1.4145265489512402</v>
      </c>
      <c r="G101" s="66" t="s">
        <v>197</v>
      </c>
      <c r="H101" s="111"/>
      <c r="K101" s="99"/>
    </row>
    <row r="102" spans="1:11" s="98" customFormat="1" ht="14" x14ac:dyDescent="0.15">
      <c r="A102" s="62"/>
      <c r="B102" s="62" t="s">
        <v>198</v>
      </c>
      <c r="C102" s="63">
        <v>807882362</v>
      </c>
      <c r="D102" s="64">
        <v>575783203</v>
      </c>
      <c r="E102" s="64">
        <f t="shared" si="50"/>
        <v>232099159</v>
      </c>
      <c r="F102" s="65">
        <f t="shared" si="51"/>
        <v>0.71270673811294327</v>
      </c>
      <c r="G102" s="66" t="s">
        <v>199</v>
      </c>
      <c r="H102" s="111"/>
      <c r="K102" s="99"/>
    </row>
    <row r="103" spans="1:11" s="98" customFormat="1" ht="14" x14ac:dyDescent="0.15">
      <c r="A103" s="62"/>
      <c r="B103" s="62" t="s">
        <v>200</v>
      </c>
      <c r="C103" s="63">
        <v>651737094</v>
      </c>
      <c r="D103" s="64">
        <v>542021610</v>
      </c>
      <c r="E103" s="64">
        <f t="shared" si="50"/>
        <v>109715484</v>
      </c>
      <c r="F103" s="65">
        <f t="shared" si="51"/>
        <v>0.8316568367673729</v>
      </c>
      <c r="G103" s="66" t="s">
        <v>201</v>
      </c>
      <c r="H103" s="111"/>
      <c r="K103" s="99"/>
    </row>
    <row r="104" spans="1:11" s="98" customFormat="1" ht="14" x14ac:dyDescent="0.15">
      <c r="A104" s="62"/>
      <c r="B104" s="62" t="s">
        <v>202</v>
      </c>
      <c r="C104" s="63">
        <v>562100556</v>
      </c>
      <c r="D104" s="64">
        <v>425593718</v>
      </c>
      <c r="E104" s="64">
        <f t="shared" si="50"/>
        <v>136506838</v>
      </c>
      <c r="F104" s="65">
        <f t="shared" si="51"/>
        <v>0.75714872269224365</v>
      </c>
      <c r="G104" s="66" t="s">
        <v>203</v>
      </c>
      <c r="H104" s="111"/>
      <c r="K104" s="99"/>
    </row>
    <row r="105" spans="1:11" s="116" customFormat="1" ht="15" x14ac:dyDescent="0.15">
      <c r="A105" s="112" t="s">
        <v>204</v>
      </c>
      <c r="B105" s="113" t="s">
        <v>205</v>
      </c>
      <c r="C105" s="114">
        <f>C106+C155</f>
        <v>592977344223</v>
      </c>
      <c r="D105" s="114">
        <f>D106+D155</f>
        <v>519984573440</v>
      </c>
      <c r="E105" s="114">
        <f>E106+E155</f>
        <v>72992770783</v>
      </c>
      <c r="F105" s="115">
        <f>D105/C105</f>
        <v>0.87690462124038637</v>
      </c>
    </row>
    <row r="106" spans="1:11" s="121" customFormat="1" ht="15" x14ac:dyDescent="0.15">
      <c r="A106" s="117" t="s">
        <v>206</v>
      </c>
      <c r="B106" s="118" t="s">
        <v>207</v>
      </c>
      <c r="C106" s="119">
        <f>C107+C110+C113+C129+C138</f>
        <v>552630987000</v>
      </c>
      <c r="D106" s="119">
        <f t="shared" ref="D106:E106" si="52">D107+D110+D113+D129+D138</f>
        <v>492407144959</v>
      </c>
      <c r="E106" s="119">
        <f t="shared" si="52"/>
        <v>60223842041</v>
      </c>
      <c r="F106" s="120">
        <f t="shared" ref="F106:F168" si="53">D106/C106</f>
        <v>0.89102340719631057</v>
      </c>
    </row>
    <row r="107" spans="1:11" s="125" customFormat="1" ht="15" x14ac:dyDescent="0.15">
      <c r="A107" s="122" t="s">
        <v>208</v>
      </c>
      <c r="B107" s="81" t="s">
        <v>209</v>
      </c>
      <c r="C107" s="123">
        <f>SUM(C108)</f>
        <v>41996684000</v>
      </c>
      <c r="D107" s="123">
        <f t="shared" ref="D107:E108" si="54">SUM(D108)</f>
        <v>17576195000</v>
      </c>
      <c r="E107" s="123">
        <f t="shared" si="54"/>
        <v>24420489000</v>
      </c>
      <c r="F107" s="124">
        <f t="shared" si="53"/>
        <v>0.41851387600030515</v>
      </c>
    </row>
    <row r="108" spans="1:11" s="129" customFormat="1" ht="15" x14ac:dyDescent="0.15">
      <c r="A108" s="126" t="s">
        <v>210</v>
      </c>
      <c r="B108" s="82" t="s">
        <v>209</v>
      </c>
      <c r="C108" s="127">
        <f>SUM(C109)</f>
        <v>41996684000</v>
      </c>
      <c r="D108" s="127">
        <f t="shared" si="54"/>
        <v>17576195000</v>
      </c>
      <c r="E108" s="127">
        <f t="shared" si="54"/>
        <v>24420489000</v>
      </c>
      <c r="F108" s="128">
        <f t="shared" si="53"/>
        <v>0.41851387600030515</v>
      </c>
    </row>
    <row r="109" spans="1:11" s="134" customFormat="1" ht="15" x14ac:dyDescent="0.15">
      <c r="A109" s="130" t="s">
        <v>211</v>
      </c>
      <c r="B109" s="109" t="s">
        <v>209</v>
      </c>
      <c r="C109" s="131">
        <v>41996684000</v>
      </c>
      <c r="D109" s="131">
        <v>17576195000</v>
      </c>
      <c r="E109" s="132">
        <f>C109-D109</f>
        <v>24420489000</v>
      </c>
      <c r="F109" s="133">
        <f t="shared" si="53"/>
        <v>0.41851387600030515</v>
      </c>
    </row>
    <row r="110" spans="1:11" s="125" customFormat="1" ht="15" x14ac:dyDescent="0.15">
      <c r="A110" s="122" t="s">
        <v>212</v>
      </c>
      <c r="B110" s="81" t="s">
        <v>213</v>
      </c>
      <c r="C110" s="123">
        <f>SUM(C111)</f>
        <v>0</v>
      </c>
      <c r="D110" s="123">
        <f t="shared" ref="D110:E111" si="55">SUM(D111)</f>
        <v>4500000000</v>
      </c>
      <c r="E110" s="123">
        <f t="shared" si="55"/>
        <v>-4500000000</v>
      </c>
      <c r="F110" s="124" t="e">
        <f t="shared" si="53"/>
        <v>#DIV/0!</v>
      </c>
    </row>
    <row r="111" spans="1:11" s="129" customFormat="1" ht="15" x14ac:dyDescent="0.15">
      <c r="A111" s="126" t="s">
        <v>214</v>
      </c>
      <c r="B111" s="82" t="s">
        <v>215</v>
      </c>
      <c r="C111" s="127">
        <f>SUM(C112)</f>
        <v>0</v>
      </c>
      <c r="D111" s="127">
        <f t="shared" si="55"/>
        <v>4500000000</v>
      </c>
      <c r="E111" s="127">
        <f t="shared" si="55"/>
        <v>-4500000000</v>
      </c>
      <c r="F111" s="128" t="e">
        <f t="shared" si="53"/>
        <v>#DIV/0!</v>
      </c>
    </row>
    <row r="112" spans="1:11" s="134" customFormat="1" ht="15" x14ac:dyDescent="0.15">
      <c r="A112" s="130" t="s">
        <v>216</v>
      </c>
      <c r="B112" s="109" t="s">
        <v>215</v>
      </c>
      <c r="C112" s="131">
        <v>0</v>
      </c>
      <c r="D112" s="131">
        <v>4500000000</v>
      </c>
      <c r="E112" s="132">
        <f>C112-D112</f>
        <v>-4500000000</v>
      </c>
      <c r="F112" s="133" t="e">
        <f t="shared" si="53"/>
        <v>#DIV/0!</v>
      </c>
    </row>
    <row r="113" spans="1:6" s="125" customFormat="1" ht="15" x14ac:dyDescent="0.15">
      <c r="A113" s="122" t="s">
        <v>217</v>
      </c>
      <c r="B113" s="81" t="s">
        <v>218</v>
      </c>
      <c r="C113" s="123">
        <f>C114+C119+C127</f>
        <v>18555056000</v>
      </c>
      <c r="D113" s="123">
        <f t="shared" ref="D113:E113" si="56">D114+D119+D127</f>
        <v>61592554800</v>
      </c>
      <c r="E113" s="123">
        <f t="shared" si="56"/>
        <v>-43037498800</v>
      </c>
      <c r="F113" s="124">
        <f t="shared" si="53"/>
        <v>3.3194486074307723</v>
      </c>
    </row>
    <row r="114" spans="1:6" s="129" customFormat="1" ht="15" x14ac:dyDescent="0.15">
      <c r="A114" s="126" t="s">
        <v>219</v>
      </c>
      <c r="B114" s="82" t="s">
        <v>220</v>
      </c>
      <c r="C114" s="127">
        <f>SUM(C115:C118)</f>
        <v>4356499000</v>
      </c>
      <c r="D114" s="127">
        <f t="shared" ref="D114:E114" si="57">SUM(D115:D118)</f>
        <v>10633533200</v>
      </c>
      <c r="E114" s="127">
        <f t="shared" si="57"/>
        <v>-6277034200</v>
      </c>
      <c r="F114" s="128">
        <f t="shared" si="53"/>
        <v>2.4408437141842567</v>
      </c>
    </row>
    <row r="115" spans="1:6" s="134" customFormat="1" ht="15" x14ac:dyDescent="0.15">
      <c r="A115" s="130" t="s">
        <v>221</v>
      </c>
      <c r="B115" s="109" t="s">
        <v>222</v>
      </c>
      <c r="C115" s="131">
        <v>2413456000</v>
      </c>
      <c r="D115" s="131">
        <v>6947599800</v>
      </c>
      <c r="E115" s="132">
        <f>C115-D115</f>
        <v>-4534143800</v>
      </c>
      <c r="F115" s="133">
        <f t="shared" si="53"/>
        <v>2.8786933758063125</v>
      </c>
    </row>
    <row r="116" spans="1:6" s="134" customFormat="1" ht="15" x14ac:dyDescent="0.15">
      <c r="A116" s="130" t="s">
        <v>223</v>
      </c>
      <c r="B116" s="109" t="s">
        <v>224</v>
      </c>
      <c r="C116" s="131">
        <v>1943043000</v>
      </c>
      <c r="D116" s="131">
        <v>3396915800</v>
      </c>
      <c r="E116" s="132">
        <f>C116-D116</f>
        <v>-1453872800</v>
      </c>
      <c r="F116" s="133">
        <f t="shared" si="53"/>
        <v>1.7482453038867385</v>
      </c>
    </row>
    <row r="117" spans="1:6" s="134" customFormat="1" ht="15" x14ac:dyDescent="0.15">
      <c r="A117" s="130" t="s">
        <v>225</v>
      </c>
      <c r="B117" s="109" t="s">
        <v>226</v>
      </c>
      <c r="C117" s="131">
        <v>0</v>
      </c>
      <c r="D117" s="131">
        <v>289017600</v>
      </c>
      <c r="E117" s="132">
        <f>C117-D117</f>
        <v>-289017600</v>
      </c>
      <c r="F117" s="133" t="e">
        <f t="shared" si="53"/>
        <v>#DIV/0!</v>
      </c>
    </row>
    <row r="118" spans="1:6" s="134" customFormat="1" ht="15" x14ac:dyDescent="0.15">
      <c r="A118" s="130" t="s">
        <v>227</v>
      </c>
      <c r="B118" s="109" t="s">
        <v>228</v>
      </c>
      <c r="C118" s="135"/>
      <c r="D118" s="136"/>
      <c r="E118" s="132">
        <f>C118-D118</f>
        <v>0</v>
      </c>
      <c r="F118" s="133" t="e">
        <f t="shared" si="53"/>
        <v>#DIV/0!</v>
      </c>
    </row>
    <row r="119" spans="1:6" s="129" customFormat="1" ht="15" x14ac:dyDescent="0.15">
      <c r="A119" s="126" t="s">
        <v>229</v>
      </c>
      <c r="B119" s="82" t="s">
        <v>230</v>
      </c>
      <c r="C119" s="127">
        <f>SUM(C120:C126)</f>
        <v>13798557000</v>
      </c>
      <c r="D119" s="127">
        <f t="shared" ref="D119:E119" si="58">SUM(D120:D126)</f>
        <v>50819021600</v>
      </c>
      <c r="E119" s="127">
        <f t="shared" si="58"/>
        <v>-37020464600</v>
      </c>
      <c r="F119" s="128">
        <f t="shared" si="53"/>
        <v>3.6829229027354091</v>
      </c>
    </row>
    <row r="120" spans="1:6" s="134" customFormat="1" ht="15" x14ac:dyDescent="0.15">
      <c r="A120" s="130" t="s">
        <v>231</v>
      </c>
      <c r="B120" s="109" t="s">
        <v>232</v>
      </c>
      <c r="C120" s="131">
        <v>10236754000</v>
      </c>
      <c r="D120" s="131">
        <v>12325572400</v>
      </c>
      <c r="E120" s="132">
        <f t="shared" ref="E120:E126" si="59">C120-D120</f>
        <v>-2088818400</v>
      </c>
      <c r="F120" s="133">
        <f t="shared" si="53"/>
        <v>1.2040508544016981</v>
      </c>
    </row>
    <row r="121" spans="1:6" s="134" customFormat="1" ht="15" x14ac:dyDescent="0.15">
      <c r="A121" s="130" t="s">
        <v>233</v>
      </c>
      <c r="B121" s="109" t="s">
        <v>234</v>
      </c>
      <c r="C121" s="131">
        <v>0</v>
      </c>
      <c r="D121" s="131">
        <v>32412135800</v>
      </c>
      <c r="E121" s="132">
        <f t="shared" si="59"/>
        <v>-32412135800</v>
      </c>
      <c r="F121" s="133" t="e">
        <f t="shared" si="53"/>
        <v>#DIV/0!</v>
      </c>
    </row>
    <row r="122" spans="1:6" s="134" customFormat="1" ht="15" x14ac:dyDescent="0.15">
      <c r="A122" s="130" t="s">
        <v>235</v>
      </c>
      <c r="B122" s="109" t="s">
        <v>236</v>
      </c>
      <c r="C122" s="135"/>
      <c r="D122" s="136"/>
      <c r="E122" s="132">
        <f t="shared" si="59"/>
        <v>0</v>
      </c>
      <c r="F122" s="133" t="e">
        <f t="shared" si="53"/>
        <v>#DIV/0!</v>
      </c>
    </row>
    <row r="123" spans="1:6" s="134" customFormat="1" ht="15" x14ac:dyDescent="0.15">
      <c r="A123" s="130" t="s">
        <v>237</v>
      </c>
      <c r="B123" s="109" t="s">
        <v>238</v>
      </c>
      <c r="C123" s="131">
        <v>3198367000</v>
      </c>
      <c r="D123" s="131">
        <v>5722733600</v>
      </c>
      <c r="E123" s="132">
        <f t="shared" si="59"/>
        <v>-2524366600</v>
      </c>
      <c r="F123" s="133">
        <f t="shared" si="53"/>
        <v>1.7892673354871407</v>
      </c>
    </row>
    <row r="124" spans="1:6" s="134" customFormat="1" ht="15" x14ac:dyDescent="0.15">
      <c r="A124" s="130" t="s">
        <v>239</v>
      </c>
      <c r="B124" s="109" t="s">
        <v>240</v>
      </c>
      <c r="C124" s="131">
        <v>111030000</v>
      </c>
      <c r="D124" s="131">
        <v>156655000</v>
      </c>
      <c r="E124" s="132">
        <f t="shared" si="59"/>
        <v>-45625000</v>
      </c>
      <c r="F124" s="133">
        <f t="shared" si="53"/>
        <v>1.4109249752319193</v>
      </c>
    </row>
    <row r="125" spans="1:6" s="134" customFormat="1" ht="15" x14ac:dyDescent="0.15">
      <c r="A125" s="130" t="s">
        <v>241</v>
      </c>
      <c r="B125" s="109" t="s">
        <v>242</v>
      </c>
      <c r="C125" s="135"/>
      <c r="D125" s="136"/>
      <c r="E125" s="132">
        <f t="shared" si="59"/>
        <v>0</v>
      </c>
      <c r="F125" s="133" t="e">
        <f t="shared" si="53"/>
        <v>#DIV/0!</v>
      </c>
    </row>
    <row r="126" spans="1:6" s="134" customFormat="1" ht="15" x14ac:dyDescent="0.15">
      <c r="A126" s="130" t="s">
        <v>243</v>
      </c>
      <c r="B126" s="109" t="s">
        <v>244</v>
      </c>
      <c r="C126" s="131">
        <v>252406000</v>
      </c>
      <c r="D126" s="131">
        <v>201924800</v>
      </c>
      <c r="E126" s="132">
        <f t="shared" si="59"/>
        <v>50481200</v>
      </c>
      <c r="F126" s="133">
        <f t="shared" si="53"/>
        <v>0.8</v>
      </c>
    </row>
    <row r="127" spans="1:6" s="129" customFormat="1" ht="15" x14ac:dyDescent="0.15">
      <c r="A127" s="126" t="s">
        <v>245</v>
      </c>
      <c r="B127" s="82" t="s">
        <v>246</v>
      </c>
      <c r="C127" s="127">
        <f>SUM(C128)</f>
        <v>400000000</v>
      </c>
      <c r="D127" s="127">
        <f t="shared" ref="D127:E127" si="60">SUM(D128)</f>
        <v>140000000</v>
      </c>
      <c r="E127" s="127">
        <f t="shared" si="60"/>
        <v>260000000</v>
      </c>
      <c r="F127" s="128">
        <f t="shared" si="53"/>
        <v>0.35</v>
      </c>
    </row>
    <row r="128" spans="1:6" s="134" customFormat="1" ht="15" x14ac:dyDescent="0.15">
      <c r="A128" s="130" t="s">
        <v>247</v>
      </c>
      <c r="B128" s="109" t="s">
        <v>248</v>
      </c>
      <c r="C128" s="131">
        <v>400000000</v>
      </c>
      <c r="D128" s="131">
        <v>140000000</v>
      </c>
      <c r="E128" s="132">
        <f>C128-D128</f>
        <v>260000000</v>
      </c>
      <c r="F128" s="133">
        <f t="shared" si="53"/>
        <v>0.35</v>
      </c>
    </row>
    <row r="129" spans="1:6" s="125" customFormat="1" ht="15" x14ac:dyDescent="0.15">
      <c r="A129" s="122" t="s">
        <v>249</v>
      </c>
      <c r="B129" s="81" t="s">
        <v>250</v>
      </c>
      <c r="C129" s="123">
        <f>C130+C132</f>
        <v>404064180000</v>
      </c>
      <c r="D129" s="123">
        <f t="shared" ref="D129:E129" si="61">D130+D132</f>
        <v>337077809600</v>
      </c>
      <c r="E129" s="123">
        <f t="shared" si="61"/>
        <v>66986370400</v>
      </c>
      <c r="F129" s="124">
        <f t="shared" si="53"/>
        <v>0.83421848875591986</v>
      </c>
    </row>
    <row r="130" spans="1:6" s="129" customFormat="1" ht="15" x14ac:dyDescent="0.15">
      <c r="A130" s="126" t="s">
        <v>251</v>
      </c>
      <c r="B130" s="82" t="s">
        <v>252</v>
      </c>
      <c r="C130" s="137">
        <f>SUM(C131)</f>
        <v>389804204000</v>
      </c>
      <c r="D130" s="137">
        <f t="shared" ref="D130:E130" si="62">SUM(D131)</f>
        <v>324836830000</v>
      </c>
      <c r="E130" s="137">
        <f t="shared" si="62"/>
        <v>64967374000</v>
      </c>
      <c r="F130" s="128">
        <f t="shared" si="53"/>
        <v>0.83333331623073004</v>
      </c>
    </row>
    <row r="131" spans="1:6" s="134" customFormat="1" ht="15" x14ac:dyDescent="0.15">
      <c r="A131" s="130" t="s">
        <v>253</v>
      </c>
      <c r="B131" s="109" t="s">
        <v>254</v>
      </c>
      <c r="C131" s="131">
        <v>389804204000</v>
      </c>
      <c r="D131" s="131">
        <v>324836830000</v>
      </c>
      <c r="E131" s="132">
        <f>C131-D131</f>
        <v>64967374000</v>
      </c>
      <c r="F131" s="133">
        <f t="shared" si="53"/>
        <v>0.83333331623073004</v>
      </c>
    </row>
    <row r="132" spans="1:6" s="129" customFormat="1" ht="15" x14ac:dyDescent="0.15">
      <c r="A132" s="126" t="s">
        <v>255</v>
      </c>
      <c r="B132" s="82" t="s">
        <v>256</v>
      </c>
      <c r="C132" s="127">
        <f>SUM(C133:C137)</f>
        <v>14259976000</v>
      </c>
      <c r="D132" s="127">
        <f t="shared" ref="D132:E132" si="63">SUM(D133:D137)</f>
        <v>12240979600</v>
      </c>
      <c r="E132" s="127">
        <f t="shared" si="63"/>
        <v>2018996400</v>
      </c>
      <c r="F132" s="128">
        <f t="shared" si="53"/>
        <v>0.85841516142804164</v>
      </c>
    </row>
    <row r="133" spans="1:6" s="134" customFormat="1" ht="15" x14ac:dyDescent="0.15">
      <c r="A133" s="130" t="s">
        <v>257</v>
      </c>
      <c r="B133" s="109" t="s">
        <v>258</v>
      </c>
      <c r="C133" s="131">
        <v>800000000</v>
      </c>
      <c r="D133" s="131">
        <v>800000000</v>
      </c>
      <c r="E133" s="132">
        <f>C133-D133</f>
        <v>0</v>
      </c>
      <c r="F133" s="133">
        <f t="shared" si="53"/>
        <v>1</v>
      </c>
    </row>
    <row r="134" spans="1:6" s="134" customFormat="1" ht="30" x14ac:dyDescent="0.15">
      <c r="A134" s="130" t="s">
        <v>259</v>
      </c>
      <c r="B134" s="109" t="s">
        <v>260</v>
      </c>
      <c r="C134" s="135"/>
      <c r="D134" s="136"/>
      <c r="E134" s="132">
        <f t="shared" ref="E134:E137" si="64">C134-D134</f>
        <v>0</v>
      </c>
      <c r="F134" s="133" t="e">
        <f t="shared" si="53"/>
        <v>#DIV/0!</v>
      </c>
    </row>
    <row r="135" spans="1:6" s="134" customFormat="1" ht="15" x14ac:dyDescent="0.15">
      <c r="A135" s="130" t="s">
        <v>261</v>
      </c>
      <c r="B135" s="109" t="s">
        <v>262</v>
      </c>
      <c r="C135" s="131">
        <v>3946746000</v>
      </c>
      <c r="D135" s="131">
        <v>3354734100</v>
      </c>
      <c r="E135" s="132">
        <f t="shared" si="64"/>
        <v>592011900</v>
      </c>
      <c r="F135" s="133">
        <f t="shared" si="53"/>
        <v>0.85</v>
      </c>
    </row>
    <row r="136" spans="1:6" s="134" customFormat="1" ht="15" x14ac:dyDescent="0.15">
      <c r="A136" s="130" t="s">
        <v>263</v>
      </c>
      <c r="B136" s="109" t="s">
        <v>264</v>
      </c>
      <c r="C136" s="131">
        <v>9513230000</v>
      </c>
      <c r="D136" s="131">
        <v>8086245500</v>
      </c>
      <c r="E136" s="132">
        <f t="shared" si="64"/>
        <v>1426984500</v>
      </c>
      <c r="F136" s="133">
        <f t="shared" si="53"/>
        <v>0.85</v>
      </c>
    </row>
    <row r="137" spans="1:6" s="134" customFormat="1" ht="15" x14ac:dyDescent="0.15">
      <c r="A137" s="130" t="s">
        <v>265</v>
      </c>
      <c r="B137" s="109" t="s">
        <v>266</v>
      </c>
      <c r="C137" s="135"/>
      <c r="D137" s="136"/>
      <c r="E137" s="132">
        <f t="shared" si="64"/>
        <v>0</v>
      </c>
      <c r="F137" s="133" t="e">
        <f t="shared" si="53"/>
        <v>#DIV/0!</v>
      </c>
    </row>
    <row r="138" spans="1:6" s="125" customFormat="1" ht="15" x14ac:dyDescent="0.15">
      <c r="A138" s="122" t="s">
        <v>267</v>
      </c>
      <c r="B138" s="81" t="s">
        <v>268</v>
      </c>
      <c r="C138" s="123">
        <f>C139+C141</f>
        <v>88015067000</v>
      </c>
      <c r="D138" s="123">
        <f t="shared" ref="D138:E138" si="65">D139+D141</f>
        <v>71660585559</v>
      </c>
      <c r="E138" s="123">
        <f t="shared" si="65"/>
        <v>16354481441</v>
      </c>
      <c r="F138" s="124">
        <f t="shared" si="53"/>
        <v>0.81418543439840818</v>
      </c>
    </row>
    <row r="139" spans="1:6" s="129" customFormat="1" ht="15" x14ac:dyDescent="0.15">
      <c r="A139" s="126" t="s">
        <v>269</v>
      </c>
      <c r="B139" s="82" t="s">
        <v>270</v>
      </c>
      <c r="C139" s="127">
        <f>SUM(C140)</f>
        <v>14708011000</v>
      </c>
      <c r="D139" s="127">
        <f t="shared" ref="D139:E139" si="66">SUM(D140)</f>
        <v>10295607700</v>
      </c>
      <c r="E139" s="127">
        <f t="shared" si="66"/>
        <v>4412403300</v>
      </c>
      <c r="F139" s="128">
        <f t="shared" si="53"/>
        <v>0.7</v>
      </c>
    </row>
    <row r="140" spans="1:6" s="134" customFormat="1" ht="15" x14ac:dyDescent="0.15">
      <c r="A140" s="130" t="s">
        <v>271</v>
      </c>
      <c r="B140" s="109" t="s">
        <v>272</v>
      </c>
      <c r="C140" s="131">
        <v>14708011000</v>
      </c>
      <c r="D140" s="131">
        <v>10295607700</v>
      </c>
      <c r="E140" s="132">
        <f>C140-D140</f>
        <v>4412403300</v>
      </c>
      <c r="F140" s="133">
        <f t="shared" si="53"/>
        <v>0.7</v>
      </c>
    </row>
    <row r="141" spans="1:6" s="129" customFormat="1" ht="15" x14ac:dyDescent="0.15">
      <c r="A141" s="126" t="s">
        <v>273</v>
      </c>
      <c r="B141" s="82" t="s">
        <v>274</v>
      </c>
      <c r="C141" s="127">
        <f>SUM(C142:C154)</f>
        <v>73307056000</v>
      </c>
      <c r="D141" s="127">
        <f>SUM(D142:D154)</f>
        <v>61364977859</v>
      </c>
      <c r="E141" s="127">
        <f>SUM(E142:E154)</f>
        <v>11942078141</v>
      </c>
      <c r="F141" s="128">
        <f t="shared" si="53"/>
        <v>0.83709510662929909</v>
      </c>
    </row>
    <row r="142" spans="1:6" s="134" customFormat="1" ht="15" x14ac:dyDescent="0.15">
      <c r="A142" s="130" t="s">
        <v>275</v>
      </c>
      <c r="B142" s="109" t="s">
        <v>276</v>
      </c>
      <c r="C142" s="131">
        <v>11743500000</v>
      </c>
      <c r="D142" s="131">
        <v>11490134000</v>
      </c>
      <c r="E142" s="132">
        <f t="shared" ref="E142:E154" si="67">C142-D142</f>
        <v>253366000</v>
      </c>
      <c r="F142" s="133">
        <f t="shared" si="53"/>
        <v>0.97842500106441865</v>
      </c>
    </row>
    <row r="143" spans="1:6" s="134" customFormat="1" ht="15" x14ac:dyDescent="0.15">
      <c r="A143" s="130" t="s">
        <v>277</v>
      </c>
      <c r="B143" s="109" t="s">
        <v>278</v>
      </c>
      <c r="C143" s="131"/>
      <c r="D143" s="131">
        <v>250000000</v>
      </c>
      <c r="E143" s="132">
        <f t="shared" si="67"/>
        <v>-250000000</v>
      </c>
      <c r="F143" s="133" t="e">
        <f t="shared" si="53"/>
        <v>#DIV/0!</v>
      </c>
    </row>
    <row r="144" spans="1:6" s="134" customFormat="1" ht="15" x14ac:dyDescent="0.15">
      <c r="A144" s="130" t="s">
        <v>279</v>
      </c>
      <c r="B144" s="109" t="s">
        <v>280</v>
      </c>
      <c r="C144" s="131">
        <v>43120328000</v>
      </c>
      <c r="D144" s="131">
        <v>32261622880</v>
      </c>
      <c r="E144" s="132">
        <f t="shared" si="67"/>
        <v>10858705120</v>
      </c>
      <c r="F144" s="133">
        <f t="shared" si="53"/>
        <v>0.74817665765436658</v>
      </c>
    </row>
    <row r="145" spans="1:7" s="134" customFormat="1" ht="15" x14ac:dyDescent="0.15">
      <c r="A145" s="130" t="s">
        <v>281</v>
      </c>
      <c r="B145" s="109" t="s">
        <v>282</v>
      </c>
      <c r="C145" s="131">
        <v>99000000</v>
      </c>
      <c r="D145" s="131">
        <v>10723500</v>
      </c>
      <c r="E145" s="132">
        <f t="shared" si="67"/>
        <v>88276500</v>
      </c>
      <c r="F145" s="133">
        <f t="shared" si="53"/>
        <v>0.10831818181818181</v>
      </c>
    </row>
    <row r="146" spans="1:7" s="134" customFormat="1" ht="15" x14ac:dyDescent="0.15">
      <c r="A146" s="130" t="s">
        <v>283</v>
      </c>
      <c r="B146" s="109" t="s">
        <v>284</v>
      </c>
      <c r="C146" s="131">
        <v>2150700000</v>
      </c>
      <c r="D146" s="131">
        <v>2067960000</v>
      </c>
      <c r="E146" s="132">
        <f t="shared" si="67"/>
        <v>82740000</v>
      </c>
      <c r="F146" s="133">
        <f t="shared" si="53"/>
        <v>0.96152880457525458</v>
      </c>
    </row>
    <row r="147" spans="1:7" customFormat="1" ht="16" x14ac:dyDescent="0.2">
      <c r="A147" s="130" t="s">
        <v>285</v>
      </c>
      <c r="B147" s="109" t="s">
        <v>286</v>
      </c>
      <c r="C147" s="131">
        <v>458200000</v>
      </c>
      <c r="D147" s="131">
        <v>458196000</v>
      </c>
      <c r="E147" s="132">
        <f t="shared" si="67"/>
        <v>4000</v>
      </c>
      <c r="F147" s="133">
        <f t="shared" si="53"/>
        <v>0.99999127018769096</v>
      </c>
      <c r="G147" s="134"/>
    </row>
    <row r="148" spans="1:7" customFormat="1" ht="16" x14ac:dyDescent="0.2">
      <c r="A148" s="130" t="s">
        <v>287</v>
      </c>
      <c r="B148" s="109" t="s">
        <v>288</v>
      </c>
      <c r="C148" s="131">
        <v>439552000</v>
      </c>
      <c r="D148" s="131">
        <v>343368880</v>
      </c>
      <c r="E148" s="132">
        <f t="shared" si="67"/>
        <v>96183120</v>
      </c>
      <c r="F148" s="133">
        <f t="shared" si="53"/>
        <v>0.78117920064065227</v>
      </c>
      <c r="G148" s="134"/>
    </row>
    <row r="149" spans="1:7" customFormat="1" ht="16" x14ac:dyDescent="0.2">
      <c r="A149" s="130" t="s">
        <v>289</v>
      </c>
      <c r="B149" s="109" t="s">
        <v>290</v>
      </c>
      <c r="C149" s="131">
        <v>1531900000</v>
      </c>
      <c r="D149" s="131">
        <v>2167714100</v>
      </c>
      <c r="E149" s="132">
        <f t="shared" si="67"/>
        <v>-635814100</v>
      </c>
      <c r="F149" s="133">
        <f t="shared" si="53"/>
        <v>1.4150493504797963</v>
      </c>
      <c r="G149" s="134"/>
    </row>
    <row r="150" spans="1:7" customFormat="1" ht="16" x14ac:dyDescent="0.2">
      <c r="A150" s="130" t="s">
        <v>291</v>
      </c>
      <c r="B150" s="109" t="s">
        <v>292</v>
      </c>
      <c r="C150" s="131">
        <v>507000000</v>
      </c>
      <c r="D150" s="131">
        <v>479982560</v>
      </c>
      <c r="E150" s="132">
        <f t="shared" si="67"/>
        <v>27017440</v>
      </c>
      <c r="F150" s="133">
        <f t="shared" si="53"/>
        <v>0.94671116370808683</v>
      </c>
      <c r="G150" s="134"/>
    </row>
    <row r="151" spans="1:7" customFormat="1" ht="16" x14ac:dyDescent="0.2">
      <c r="A151" s="130" t="s">
        <v>293</v>
      </c>
      <c r="B151" s="109" t="s">
        <v>294</v>
      </c>
      <c r="C151" s="135"/>
      <c r="D151" s="136"/>
      <c r="E151" s="132">
        <f t="shared" si="67"/>
        <v>0</v>
      </c>
      <c r="F151" s="133" t="e">
        <f t="shared" si="53"/>
        <v>#DIV/0!</v>
      </c>
      <c r="G151" s="134"/>
    </row>
    <row r="152" spans="1:7" customFormat="1" ht="16" x14ac:dyDescent="0.2">
      <c r="A152" s="130" t="s">
        <v>295</v>
      </c>
      <c r="B152" s="109" t="s">
        <v>296</v>
      </c>
      <c r="C152" s="131">
        <v>5197567000</v>
      </c>
      <c r="D152" s="131">
        <v>4795253815</v>
      </c>
      <c r="E152" s="132">
        <f t="shared" si="67"/>
        <v>402313185</v>
      </c>
      <c r="F152" s="133">
        <f t="shared" si="53"/>
        <v>0.92259586360310508</v>
      </c>
      <c r="G152" s="134"/>
    </row>
    <row r="153" spans="1:7" customFormat="1" ht="16" x14ac:dyDescent="0.2">
      <c r="A153" s="130" t="s">
        <v>297</v>
      </c>
      <c r="B153" s="109" t="s">
        <v>298</v>
      </c>
      <c r="C153" s="131">
        <v>7660764000</v>
      </c>
      <c r="D153" s="131">
        <v>6657183924</v>
      </c>
      <c r="E153" s="132">
        <f t="shared" si="67"/>
        <v>1003580076</v>
      </c>
      <c r="F153" s="133">
        <f t="shared" si="53"/>
        <v>0.86899739033861378</v>
      </c>
      <c r="G153" s="134"/>
    </row>
    <row r="154" spans="1:7" customFormat="1" ht="16" x14ac:dyDescent="0.2">
      <c r="A154" s="130" t="s">
        <v>299</v>
      </c>
      <c r="B154" s="109" t="s">
        <v>300</v>
      </c>
      <c r="C154" s="131">
        <v>398545000</v>
      </c>
      <c r="D154" s="131">
        <v>382838200</v>
      </c>
      <c r="E154" s="132">
        <f t="shared" si="67"/>
        <v>15706800</v>
      </c>
      <c r="F154" s="133">
        <f t="shared" si="53"/>
        <v>0.96058964483308029</v>
      </c>
      <c r="G154" s="134"/>
    </row>
    <row r="155" spans="1:7" s="138" customFormat="1" ht="16" x14ac:dyDescent="0.2">
      <c r="A155" s="117" t="s">
        <v>301</v>
      </c>
      <c r="B155" s="118" t="s">
        <v>302</v>
      </c>
      <c r="C155" s="119">
        <f>C156+C163</f>
        <v>40346357223</v>
      </c>
      <c r="D155" s="119">
        <f t="shared" ref="D155:E155" si="68">D156+D163</f>
        <v>27577428481</v>
      </c>
      <c r="E155" s="119">
        <f t="shared" si="68"/>
        <v>12768928742</v>
      </c>
      <c r="F155" s="120">
        <f t="shared" si="53"/>
        <v>0.68351718418036278</v>
      </c>
      <c r="G155" s="121"/>
    </row>
    <row r="156" spans="1:7" s="139" customFormat="1" ht="16" x14ac:dyDescent="0.2">
      <c r="A156" s="122" t="s">
        <v>303</v>
      </c>
      <c r="B156" s="81" t="s">
        <v>304</v>
      </c>
      <c r="C156" s="123">
        <f>SUM(C157)</f>
        <v>34096357223</v>
      </c>
      <c r="D156" s="123">
        <f t="shared" ref="D156:E156" si="69">SUM(D157)</f>
        <v>24087428481</v>
      </c>
      <c r="E156" s="123">
        <f t="shared" si="69"/>
        <v>10008928742</v>
      </c>
      <c r="F156" s="124">
        <f t="shared" si="53"/>
        <v>0.70645166941035009</v>
      </c>
      <c r="G156" s="125"/>
    </row>
    <row r="157" spans="1:7" s="140" customFormat="1" ht="16" x14ac:dyDescent="0.2">
      <c r="A157" s="126" t="s">
        <v>305</v>
      </c>
      <c r="B157" s="82" t="s">
        <v>306</v>
      </c>
      <c r="C157" s="127">
        <f>SUM(C158:C162)</f>
        <v>34096357223</v>
      </c>
      <c r="D157" s="127">
        <f t="shared" ref="D157:E157" si="70">SUM(D158:D162)</f>
        <v>24087428481</v>
      </c>
      <c r="E157" s="127">
        <f t="shared" si="70"/>
        <v>10008928742</v>
      </c>
      <c r="F157" s="128">
        <f t="shared" si="53"/>
        <v>0.70645166941035009</v>
      </c>
      <c r="G157" s="129"/>
    </row>
    <row r="158" spans="1:7" customFormat="1" ht="16" x14ac:dyDescent="0.2">
      <c r="A158" s="130" t="s">
        <v>307</v>
      </c>
      <c r="B158" s="109" t="s">
        <v>308</v>
      </c>
      <c r="C158" s="131">
        <v>5188976797</v>
      </c>
      <c r="D158" s="131">
        <v>1067262746</v>
      </c>
      <c r="E158" s="132">
        <f t="shared" ref="E158:E162" si="71">C158-D158</f>
        <v>4121714051</v>
      </c>
      <c r="F158" s="133">
        <f t="shared" si="53"/>
        <v>0.20567884339298578</v>
      </c>
      <c r="G158" s="134"/>
    </row>
    <row r="159" spans="1:7" customFormat="1" ht="16" x14ac:dyDescent="0.2">
      <c r="A159" s="130" t="s">
        <v>309</v>
      </c>
      <c r="B159" s="109" t="s">
        <v>310</v>
      </c>
      <c r="C159" s="131">
        <v>3404322223</v>
      </c>
      <c r="D159" s="131">
        <v>219902471</v>
      </c>
      <c r="E159" s="132">
        <f t="shared" si="71"/>
        <v>3184419752</v>
      </c>
      <c r="F159" s="133">
        <f t="shared" si="53"/>
        <v>6.4595081368712143E-2</v>
      </c>
      <c r="G159" s="134"/>
    </row>
    <row r="160" spans="1:7" customFormat="1" ht="16" x14ac:dyDescent="0.2">
      <c r="A160" s="130" t="s">
        <v>311</v>
      </c>
      <c r="B160" s="109" t="s">
        <v>312</v>
      </c>
      <c r="C160" s="131">
        <v>12738268829</v>
      </c>
      <c r="D160" s="131">
        <v>13837214066</v>
      </c>
      <c r="E160" s="132">
        <f t="shared" si="71"/>
        <v>-1098945237</v>
      </c>
      <c r="F160" s="133">
        <f t="shared" si="53"/>
        <v>1.0862711606853623</v>
      </c>
      <c r="G160" s="134"/>
    </row>
    <row r="161" spans="1:14" customFormat="1" ht="16" x14ac:dyDescent="0.2">
      <c r="A161" s="130" t="s">
        <v>313</v>
      </c>
      <c r="B161" s="109" t="s">
        <v>314</v>
      </c>
      <c r="C161" s="131">
        <v>11606645</v>
      </c>
      <c r="D161" s="131">
        <v>143299887</v>
      </c>
      <c r="E161" s="132">
        <f t="shared" si="71"/>
        <v>-131693242</v>
      </c>
      <c r="F161" s="133">
        <f t="shared" si="53"/>
        <v>12.346365982590145</v>
      </c>
      <c r="G161" s="134"/>
    </row>
    <row r="162" spans="1:14" customFormat="1" ht="16" x14ac:dyDescent="0.2">
      <c r="A162" s="130" t="s">
        <v>315</v>
      </c>
      <c r="B162" s="109" t="s">
        <v>316</v>
      </c>
      <c r="C162" s="131">
        <v>12753182729</v>
      </c>
      <c r="D162" s="131">
        <v>8819749311</v>
      </c>
      <c r="E162" s="132">
        <f t="shared" si="71"/>
        <v>3933433418</v>
      </c>
      <c r="F162" s="133">
        <f t="shared" si="53"/>
        <v>0.69157240968126332</v>
      </c>
      <c r="G162" s="134"/>
    </row>
    <row r="163" spans="1:14" s="139" customFormat="1" ht="16" x14ac:dyDescent="0.2">
      <c r="A163" s="122" t="s">
        <v>317</v>
      </c>
      <c r="B163" s="81" t="s">
        <v>318</v>
      </c>
      <c r="C163" s="123">
        <f>SUM(C164)</f>
        <v>6250000000</v>
      </c>
      <c r="D163" s="123">
        <f t="shared" ref="D163:E164" si="72">SUM(D164)</f>
        <v>3490000000</v>
      </c>
      <c r="E163" s="123">
        <f t="shared" si="72"/>
        <v>2760000000</v>
      </c>
      <c r="F163" s="124">
        <f t="shared" si="53"/>
        <v>0.55840000000000001</v>
      </c>
      <c r="G163" s="125"/>
    </row>
    <row r="164" spans="1:14" s="140" customFormat="1" ht="16" x14ac:dyDescent="0.2">
      <c r="A164" s="126" t="s">
        <v>319</v>
      </c>
      <c r="B164" s="82" t="s">
        <v>320</v>
      </c>
      <c r="C164" s="127">
        <f>SUM(C165)</f>
        <v>6250000000</v>
      </c>
      <c r="D164" s="127">
        <f t="shared" si="72"/>
        <v>3490000000</v>
      </c>
      <c r="E164" s="127">
        <f t="shared" si="72"/>
        <v>2760000000</v>
      </c>
      <c r="F164" s="128">
        <f t="shared" si="53"/>
        <v>0.55840000000000001</v>
      </c>
      <c r="G164" s="129"/>
    </row>
    <row r="165" spans="1:14" customFormat="1" ht="16" x14ac:dyDescent="0.2">
      <c r="A165" s="130" t="s">
        <v>321</v>
      </c>
      <c r="B165" s="109" t="s">
        <v>322</v>
      </c>
      <c r="C165" s="131">
        <v>6250000000</v>
      </c>
      <c r="D165" s="131">
        <v>3490000000</v>
      </c>
      <c r="E165" s="132">
        <f>C165-D165</f>
        <v>2760000000</v>
      </c>
      <c r="F165" s="133">
        <f t="shared" si="53"/>
        <v>0.55840000000000001</v>
      </c>
      <c r="G165" s="134"/>
    </row>
    <row r="166" spans="1:14" s="141" customFormat="1" ht="16" x14ac:dyDescent="0.2">
      <c r="A166" s="112" t="s">
        <v>323</v>
      </c>
      <c r="B166" s="113" t="s">
        <v>324</v>
      </c>
      <c r="C166" s="114">
        <f>SUM(C167)</f>
        <v>1389159036</v>
      </c>
      <c r="D166" s="114">
        <f t="shared" ref="D166:F169" si="73">SUM(D167)</f>
        <v>849296522</v>
      </c>
      <c r="E166" s="114">
        <f t="shared" si="73"/>
        <v>539862514</v>
      </c>
      <c r="F166" s="115">
        <f t="shared" si="53"/>
        <v>0.61137457986487875</v>
      </c>
      <c r="G166" s="116"/>
    </row>
    <row r="167" spans="1:14" s="138" customFormat="1" ht="16" x14ac:dyDescent="0.2">
      <c r="A167" s="117" t="s">
        <v>325</v>
      </c>
      <c r="B167" s="118" t="s">
        <v>326</v>
      </c>
      <c r="C167" s="119">
        <f>SUM(C168)</f>
        <v>1389159036</v>
      </c>
      <c r="D167" s="119">
        <f t="shared" si="73"/>
        <v>849296522</v>
      </c>
      <c r="E167" s="119">
        <f t="shared" si="73"/>
        <v>539862514</v>
      </c>
      <c r="F167" s="120">
        <f t="shared" si="53"/>
        <v>0.61137457986487875</v>
      </c>
      <c r="G167" s="121"/>
    </row>
    <row r="168" spans="1:14" s="139" customFormat="1" ht="16" x14ac:dyDescent="0.2">
      <c r="A168" s="122" t="s">
        <v>327</v>
      </c>
      <c r="B168" s="81" t="s">
        <v>328</v>
      </c>
      <c r="C168" s="123">
        <f>SUM(C169)</f>
        <v>1389159036</v>
      </c>
      <c r="D168" s="123">
        <f t="shared" si="73"/>
        <v>849296522</v>
      </c>
      <c r="E168" s="123">
        <f t="shared" si="73"/>
        <v>539862514</v>
      </c>
      <c r="F168" s="124">
        <f t="shared" si="53"/>
        <v>0.61137457986487875</v>
      </c>
      <c r="G168" s="125"/>
    </row>
    <row r="169" spans="1:14" s="140" customFormat="1" ht="16" x14ac:dyDescent="0.2">
      <c r="A169" s="126" t="s">
        <v>329</v>
      </c>
      <c r="B169" s="82" t="s">
        <v>328</v>
      </c>
      <c r="C169" s="137">
        <f>SUM(C170)</f>
        <v>1389159036</v>
      </c>
      <c r="D169" s="137">
        <f t="shared" si="73"/>
        <v>849296522</v>
      </c>
      <c r="E169" s="137">
        <f t="shared" si="73"/>
        <v>539862514</v>
      </c>
      <c r="F169" s="142">
        <f t="shared" si="73"/>
        <v>0.61137457986487875</v>
      </c>
      <c r="G169" s="129"/>
    </row>
    <row r="170" spans="1:14" s="7" customFormat="1" ht="15" x14ac:dyDescent="0.15">
      <c r="A170" s="130" t="s">
        <v>330</v>
      </c>
      <c r="B170" s="109" t="s">
        <v>328</v>
      </c>
      <c r="C170" s="131">
        <v>1389159036</v>
      </c>
      <c r="D170" s="131">
        <v>849296522</v>
      </c>
      <c r="E170" s="132">
        <f>C170-D170</f>
        <v>539862514</v>
      </c>
      <c r="F170" s="133">
        <f t="shared" ref="F170" si="74">D170/C170</f>
        <v>0.61137457986487875</v>
      </c>
      <c r="G170" s="68"/>
      <c r="H170" s="68"/>
      <c r="K170" s="69"/>
    </row>
    <row r="171" spans="1:14" s="6" customFormat="1" x14ac:dyDescent="0.15">
      <c r="A171" s="7"/>
      <c r="B171" s="7"/>
      <c r="C171" s="8"/>
      <c r="D171" s="8"/>
      <c r="E171" s="8"/>
      <c r="F171" s="8"/>
      <c r="G171" s="143"/>
      <c r="H171" s="10"/>
      <c r="I171" s="5"/>
      <c r="J171" s="5"/>
      <c r="L171" s="5"/>
      <c r="M171" s="5"/>
      <c r="N171" s="5"/>
    </row>
    <row r="172" spans="1:14" s="6" customFormat="1" x14ac:dyDescent="0.15">
      <c r="A172" s="7"/>
      <c r="B172" s="7"/>
      <c r="C172" s="8"/>
      <c r="D172" s="8"/>
      <c r="E172" s="8"/>
      <c r="F172" s="8"/>
      <c r="G172" s="143"/>
      <c r="H172" s="10"/>
      <c r="I172" s="5"/>
      <c r="J172" s="5"/>
      <c r="L172" s="5"/>
      <c r="M172" s="5"/>
      <c r="N172" s="5"/>
    </row>
    <row r="173" spans="1:14" s="6" customFormat="1" x14ac:dyDescent="0.15">
      <c r="A173" s="7"/>
      <c r="B173" s="7"/>
      <c r="C173" s="144"/>
      <c r="D173" s="144"/>
      <c r="E173" s="144"/>
      <c r="F173" s="144"/>
      <c r="G173" s="143"/>
      <c r="H173" s="10"/>
      <c r="I173" s="5"/>
      <c r="J173" s="5"/>
    </row>
    <row r="174" spans="1:14" s="6" customFormat="1" x14ac:dyDescent="0.15">
      <c r="A174" s="7"/>
      <c r="B174" s="7"/>
      <c r="C174" s="144"/>
      <c r="D174" s="144"/>
      <c r="E174" s="144"/>
      <c r="F174" s="144"/>
      <c r="G174" s="143"/>
      <c r="H174" s="10"/>
      <c r="I174" s="5"/>
      <c r="J174" s="5"/>
    </row>
    <row r="175" spans="1:14" s="6" customFormat="1" x14ac:dyDescent="0.15">
      <c r="A175" s="7"/>
      <c r="B175" s="7"/>
      <c r="C175" s="145"/>
      <c r="D175" s="145"/>
      <c r="E175" s="145"/>
      <c r="F175" s="145"/>
      <c r="G175" s="146"/>
      <c r="H175" s="10"/>
      <c r="I175" s="5"/>
      <c r="J175" s="5"/>
    </row>
    <row r="176" spans="1:14" s="6" customFormat="1" x14ac:dyDescent="0.15">
      <c r="A176" s="7"/>
      <c r="B176" s="7"/>
      <c r="C176" s="145"/>
      <c r="D176" s="145"/>
      <c r="E176" s="145"/>
      <c r="F176" s="145"/>
      <c r="G176" s="143"/>
      <c r="H176" s="10"/>
      <c r="I176" s="5"/>
      <c r="J176" s="5"/>
    </row>
    <row r="177" spans="1:10" s="6" customFormat="1" x14ac:dyDescent="0.15">
      <c r="A177" s="7"/>
      <c r="B177" s="7"/>
      <c r="C177" s="145"/>
      <c r="D177" s="145"/>
      <c r="E177" s="145"/>
      <c r="F177" s="145"/>
      <c r="G177" s="143"/>
      <c r="H177" s="10"/>
      <c r="I177" s="5"/>
      <c r="J177" s="5"/>
    </row>
    <row r="178" spans="1:10" s="6" customFormat="1" x14ac:dyDescent="0.15">
      <c r="A178" s="7"/>
      <c r="B178" s="7"/>
      <c r="C178" s="147"/>
      <c r="D178" s="147"/>
      <c r="E178" s="147"/>
      <c r="F178" s="147"/>
      <c r="G178" s="143"/>
      <c r="H178" s="10"/>
      <c r="I178" s="5"/>
      <c r="J178" s="5"/>
    </row>
    <row r="179" spans="1:10" s="6" customFormat="1" x14ac:dyDescent="0.15">
      <c r="A179" s="7"/>
      <c r="B179" s="7"/>
      <c r="C179" s="148"/>
      <c r="D179" s="148"/>
      <c r="E179" s="148"/>
      <c r="F179" s="148"/>
      <c r="G179" s="143"/>
      <c r="H179" s="10"/>
      <c r="I179" s="5"/>
      <c r="J179" s="5"/>
    </row>
    <row r="180" spans="1:10" s="6" customFormat="1" x14ac:dyDescent="0.15">
      <c r="A180" s="7"/>
      <c r="B180" s="7"/>
      <c r="C180" s="148"/>
      <c r="D180" s="148"/>
      <c r="E180" s="148"/>
      <c r="F180" s="148"/>
      <c r="G180" s="146"/>
      <c r="H180" s="10"/>
      <c r="I180" s="5"/>
      <c r="J180" s="5"/>
    </row>
    <row r="181" spans="1:10" s="6" customFormat="1" x14ac:dyDescent="0.15">
      <c r="A181" s="7"/>
      <c r="B181" s="7"/>
      <c r="C181" s="8"/>
      <c r="D181" s="8"/>
      <c r="E181" s="8"/>
      <c r="F181" s="8"/>
      <c r="G181" s="146"/>
      <c r="H181" s="10"/>
      <c r="I181" s="5"/>
      <c r="J181" s="5"/>
    </row>
    <row r="182" spans="1:10" s="6" customFormat="1" x14ac:dyDescent="0.15">
      <c r="A182" s="7"/>
      <c r="B182" s="7"/>
      <c r="C182" s="8"/>
      <c r="D182" s="8"/>
      <c r="E182" s="8"/>
      <c r="F182" s="8"/>
      <c r="G182" s="143"/>
      <c r="H182" s="10"/>
      <c r="I182" s="5"/>
      <c r="J182" s="5"/>
    </row>
    <row r="183" spans="1:10" s="6" customFormat="1" x14ac:dyDescent="0.15">
      <c r="A183" s="7"/>
      <c r="B183" s="7"/>
      <c r="C183" s="144"/>
      <c r="D183" s="144"/>
      <c r="E183" s="144"/>
      <c r="F183" s="144"/>
      <c r="G183" s="143"/>
      <c r="H183" s="10"/>
      <c r="I183" s="5"/>
      <c r="J183" s="5"/>
    </row>
    <row r="184" spans="1:10" s="6" customFormat="1" x14ac:dyDescent="0.15">
      <c r="A184" s="7"/>
      <c r="B184" s="7"/>
      <c r="C184" s="144"/>
      <c r="D184" s="144"/>
      <c r="E184" s="144"/>
      <c r="F184" s="144"/>
      <c r="G184" s="143"/>
      <c r="H184" s="10"/>
      <c r="I184" s="5"/>
      <c r="J184" s="5"/>
    </row>
    <row r="185" spans="1:10" s="6" customFormat="1" x14ac:dyDescent="0.15">
      <c r="A185" s="7"/>
      <c r="B185" s="7"/>
      <c r="C185" s="144"/>
      <c r="D185" s="144"/>
      <c r="E185" s="144"/>
      <c r="F185" s="144"/>
      <c r="G185" s="143"/>
      <c r="H185" s="10"/>
      <c r="I185" s="5"/>
      <c r="J185" s="5"/>
    </row>
    <row r="186" spans="1:10" s="6" customFormat="1" x14ac:dyDescent="0.15">
      <c r="A186" s="7"/>
      <c r="B186" s="7"/>
      <c r="C186" s="145"/>
      <c r="D186" s="145"/>
      <c r="E186" s="145"/>
      <c r="F186" s="145"/>
      <c r="G186" s="143"/>
      <c r="H186" s="10"/>
      <c r="I186" s="5"/>
      <c r="J186" s="5"/>
    </row>
    <row r="187" spans="1:10" s="6" customFormat="1" x14ac:dyDescent="0.15">
      <c r="A187" s="7"/>
      <c r="B187" s="7"/>
      <c r="C187" s="145"/>
      <c r="D187" s="145"/>
      <c r="E187" s="145"/>
      <c r="F187" s="145"/>
      <c r="G187" s="146"/>
      <c r="H187" s="10"/>
      <c r="I187" s="5"/>
      <c r="J187" s="5"/>
    </row>
    <row r="188" spans="1:10" s="6" customFormat="1" x14ac:dyDescent="0.15">
      <c r="A188" s="7"/>
      <c r="B188" s="7"/>
      <c r="C188" s="149"/>
      <c r="D188" s="149"/>
      <c r="E188" s="149"/>
      <c r="F188" s="149"/>
      <c r="G188" s="146"/>
      <c r="H188" s="10"/>
      <c r="I188" s="5"/>
      <c r="J188" s="5"/>
    </row>
    <row r="189" spans="1:10" s="6" customFormat="1" x14ac:dyDescent="0.15">
      <c r="A189" s="7"/>
      <c r="B189" s="7"/>
      <c r="C189" s="148"/>
      <c r="D189" s="148"/>
      <c r="E189" s="148"/>
      <c r="F189" s="148"/>
      <c r="G189" s="143"/>
      <c r="H189" s="10"/>
      <c r="I189" s="5"/>
      <c r="J189" s="5"/>
    </row>
    <row r="190" spans="1:10" s="6" customFormat="1" x14ac:dyDescent="0.15">
      <c r="A190" s="7"/>
      <c r="B190" s="7"/>
      <c r="C190" s="150"/>
      <c r="D190" s="150"/>
      <c r="E190" s="150"/>
      <c r="F190" s="150"/>
      <c r="G190" s="143"/>
      <c r="H190" s="10"/>
      <c r="I190" s="5"/>
      <c r="J190" s="5"/>
    </row>
    <row r="191" spans="1:10" s="6" customFormat="1" x14ac:dyDescent="0.15">
      <c r="A191" s="7"/>
      <c r="B191" s="7"/>
      <c r="C191" s="8"/>
      <c r="D191" s="8"/>
      <c r="E191" s="8"/>
      <c r="F191" s="8"/>
      <c r="G191" s="143"/>
      <c r="H191" s="10"/>
      <c r="I191" s="5"/>
      <c r="J191" s="5"/>
    </row>
    <row r="192" spans="1:10" s="6" customFormat="1" x14ac:dyDescent="0.15">
      <c r="A192" s="7"/>
      <c r="B192" s="7"/>
      <c r="C192" s="8"/>
      <c r="D192" s="8"/>
      <c r="E192" s="8"/>
      <c r="F192" s="8"/>
      <c r="G192" s="143"/>
      <c r="H192" s="10"/>
      <c r="I192" s="5"/>
      <c r="J192" s="5"/>
    </row>
    <row r="193" spans="1:10" s="6" customFormat="1" x14ac:dyDescent="0.15">
      <c r="A193" s="7"/>
      <c r="B193" s="7"/>
      <c r="C193" s="8"/>
      <c r="D193" s="8"/>
      <c r="E193" s="8"/>
      <c r="F193" s="8"/>
      <c r="G193" s="143"/>
      <c r="H193" s="10"/>
      <c r="I193" s="5"/>
      <c r="J193" s="5"/>
    </row>
    <row r="194" spans="1:10" s="6" customFormat="1" x14ac:dyDescent="0.15">
      <c r="A194" s="7"/>
      <c r="B194" s="7"/>
      <c r="C194" s="8"/>
      <c r="D194" s="8"/>
      <c r="E194" s="8"/>
      <c r="F194" s="8"/>
      <c r="G194" s="143"/>
      <c r="H194" s="10"/>
      <c r="I194" s="5"/>
      <c r="J194" s="5"/>
    </row>
    <row r="195" spans="1:10" s="6" customFormat="1" x14ac:dyDescent="0.15">
      <c r="A195" s="7"/>
      <c r="B195" s="7"/>
      <c r="C195" s="8"/>
      <c r="D195" s="8"/>
      <c r="E195" s="8"/>
      <c r="F195" s="8"/>
      <c r="G195" s="146"/>
      <c r="H195" s="10"/>
      <c r="I195" s="5"/>
      <c r="J195" s="5"/>
    </row>
    <row r="196" spans="1:10" s="6" customFormat="1" x14ac:dyDescent="0.15">
      <c r="A196" s="7"/>
      <c r="B196" s="7"/>
      <c r="C196" s="8"/>
      <c r="D196" s="8"/>
      <c r="E196" s="8"/>
      <c r="F196" s="8"/>
      <c r="G196" s="143"/>
      <c r="H196" s="10"/>
      <c r="I196" s="5"/>
      <c r="J196" s="5"/>
    </row>
    <row r="197" spans="1:10" s="6" customFormat="1" x14ac:dyDescent="0.15">
      <c r="A197" s="7"/>
      <c r="B197" s="7"/>
      <c r="C197" s="8"/>
      <c r="D197" s="8"/>
      <c r="E197" s="8"/>
      <c r="F197" s="8"/>
      <c r="G197" s="143"/>
      <c r="H197" s="10"/>
      <c r="I197" s="5"/>
      <c r="J197" s="5"/>
    </row>
    <row r="198" spans="1:10" s="6" customFormat="1" x14ac:dyDescent="0.15">
      <c r="A198" s="7"/>
      <c r="B198" s="7"/>
      <c r="C198" s="8"/>
      <c r="D198" s="8"/>
      <c r="E198" s="8"/>
      <c r="F198" s="8"/>
      <c r="G198" s="7"/>
      <c r="H198" s="10"/>
      <c r="I198" s="5"/>
      <c r="J198" s="5"/>
    </row>
    <row r="199" spans="1:10" s="6" customFormat="1" x14ac:dyDescent="0.15">
      <c r="A199" s="7"/>
      <c r="B199" s="7"/>
      <c r="C199" s="8"/>
      <c r="D199" s="8"/>
      <c r="E199" s="8"/>
      <c r="F199" s="8"/>
      <c r="G199" s="7"/>
      <c r="H199" s="10"/>
      <c r="I199" s="5"/>
      <c r="J199" s="5"/>
    </row>
    <row r="200" spans="1:10" s="6" customFormat="1" x14ac:dyDescent="0.15">
      <c r="A200" s="7"/>
      <c r="B200" s="7"/>
      <c r="C200" s="8"/>
      <c r="D200" s="8"/>
      <c r="E200" s="8"/>
      <c r="F200" s="8"/>
      <c r="G200" s="7"/>
      <c r="H200" s="10"/>
      <c r="I200" s="5"/>
      <c r="J200" s="5"/>
    </row>
    <row r="201" spans="1:10" s="6" customFormat="1" x14ac:dyDescent="0.15">
      <c r="A201" s="7"/>
      <c r="B201" s="7"/>
      <c r="C201" s="8"/>
      <c r="D201" s="8"/>
      <c r="E201" s="8"/>
      <c r="F201" s="8"/>
      <c r="G201" s="7"/>
      <c r="H201" s="10"/>
      <c r="I201" s="5"/>
      <c r="J201" s="5"/>
    </row>
    <row r="202" spans="1:10" s="6" customFormat="1" x14ac:dyDescent="0.15">
      <c r="A202" s="7"/>
      <c r="B202" s="7"/>
      <c r="C202" s="8"/>
      <c r="D202" s="8"/>
      <c r="E202" s="8"/>
      <c r="F202" s="8"/>
      <c r="G202" s="7"/>
      <c r="H202" s="10"/>
      <c r="I202" s="5"/>
      <c r="J202" s="5"/>
    </row>
    <row r="203" spans="1:10" s="6" customFormat="1" x14ac:dyDescent="0.15">
      <c r="A203" s="7"/>
      <c r="B203" s="7"/>
      <c r="C203" s="8"/>
      <c r="D203" s="8"/>
      <c r="E203" s="8"/>
      <c r="F203" s="8"/>
      <c r="G203" s="7"/>
      <c r="H203" s="10"/>
      <c r="I203" s="5"/>
      <c r="J203" s="5"/>
    </row>
    <row r="204" spans="1:10" s="6" customFormat="1" x14ac:dyDescent="0.15">
      <c r="A204" s="7"/>
      <c r="B204" s="7"/>
      <c r="C204" s="8"/>
      <c r="D204" s="8"/>
      <c r="E204" s="8"/>
      <c r="F204" s="8"/>
      <c r="G204" s="143"/>
      <c r="H204" s="10"/>
      <c r="I204" s="5"/>
      <c r="J204" s="5"/>
    </row>
    <row r="205" spans="1:10" s="6" customFormat="1" x14ac:dyDescent="0.15">
      <c r="A205" s="7"/>
      <c r="B205" s="7"/>
      <c r="C205" s="8"/>
      <c r="D205" s="8"/>
      <c r="E205" s="8"/>
      <c r="F205" s="8"/>
      <c r="G205" s="146"/>
      <c r="H205" s="10"/>
      <c r="I205" s="5"/>
      <c r="J205" s="5"/>
    </row>
    <row r="206" spans="1:10" s="6" customFormat="1" x14ac:dyDescent="0.15">
      <c r="A206" s="7"/>
      <c r="B206" s="7"/>
      <c r="C206" s="8"/>
      <c r="D206" s="8"/>
      <c r="E206" s="8"/>
      <c r="F206" s="8"/>
      <c r="G206" s="143"/>
      <c r="H206" s="10"/>
      <c r="I206" s="5"/>
      <c r="J206" s="5"/>
    </row>
    <row r="207" spans="1:10" s="6" customFormat="1" x14ac:dyDescent="0.15">
      <c r="A207" s="7"/>
      <c r="B207" s="7"/>
      <c r="C207" s="8"/>
      <c r="D207" s="8"/>
      <c r="E207" s="8"/>
      <c r="F207" s="8"/>
      <c r="G207" s="143"/>
      <c r="H207" s="10"/>
      <c r="I207" s="5"/>
      <c r="J207" s="5"/>
    </row>
    <row r="208" spans="1:10" s="6" customFormat="1" x14ac:dyDescent="0.15">
      <c r="A208" s="7"/>
      <c r="B208" s="7"/>
      <c r="C208" s="8"/>
      <c r="D208" s="8"/>
      <c r="E208" s="8"/>
      <c r="F208" s="8"/>
      <c r="G208" s="143"/>
      <c r="H208" s="10"/>
      <c r="I208" s="5"/>
      <c r="J208" s="5"/>
    </row>
    <row r="209" spans="1:10" s="6" customFormat="1" x14ac:dyDescent="0.15">
      <c r="A209" s="7"/>
      <c r="B209" s="7"/>
      <c r="C209" s="8"/>
      <c r="D209" s="8"/>
      <c r="E209" s="8"/>
      <c r="F209" s="8"/>
      <c r="G209" s="143"/>
      <c r="H209" s="10"/>
      <c r="I209" s="5"/>
      <c r="J209" s="5"/>
    </row>
    <row r="210" spans="1:10" s="6" customFormat="1" ht="21" x14ac:dyDescent="0.25">
      <c r="A210" s="7"/>
      <c r="B210" s="7"/>
      <c r="C210" s="8"/>
      <c r="D210" s="8"/>
      <c r="E210" s="8"/>
      <c r="F210" s="8"/>
      <c r="G210" s="151"/>
      <c r="H210" s="10"/>
      <c r="I210" s="5"/>
      <c r="J210" s="5"/>
    </row>
    <row r="211" spans="1:10" s="6" customFormat="1" ht="21" x14ac:dyDescent="0.25">
      <c r="A211" s="7"/>
      <c r="B211" s="7"/>
      <c r="C211" s="8"/>
      <c r="D211" s="8"/>
      <c r="E211" s="8"/>
      <c r="F211" s="8"/>
      <c r="G211" s="151"/>
      <c r="H211" s="10"/>
      <c r="I211" s="5"/>
      <c r="J211" s="5"/>
    </row>
    <row r="212" spans="1:10" s="6" customFormat="1" ht="21" x14ac:dyDescent="0.25">
      <c r="A212" s="7"/>
      <c r="B212" s="7"/>
      <c r="C212" s="8"/>
      <c r="D212" s="8"/>
      <c r="E212" s="8"/>
      <c r="F212" s="8"/>
      <c r="G212" s="152"/>
      <c r="H212" s="10"/>
      <c r="I212" s="5"/>
      <c r="J212" s="5"/>
    </row>
    <row r="213" spans="1:10" s="6" customFormat="1" ht="21" x14ac:dyDescent="0.25">
      <c r="A213" s="7"/>
      <c r="B213" s="7"/>
      <c r="C213" s="8"/>
      <c r="D213" s="8"/>
      <c r="E213" s="8"/>
      <c r="F213" s="8"/>
      <c r="G213" s="152"/>
      <c r="H213" s="10"/>
      <c r="I213" s="5"/>
      <c r="J213" s="5"/>
    </row>
    <row r="214" spans="1:10" s="6" customFormat="1" ht="21" x14ac:dyDescent="0.25">
      <c r="A214" s="7"/>
      <c r="B214" s="7"/>
      <c r="C214" s="8"/>
      <c r="D214" s="8"/>
      <c r="E214" s="8"/>
      <c r="F214" s="8"/>
      <c r="G214" s="152"/>
      <c r="H214" s="10"/>
      <c r="I214" s="5"/>
      <c r="J214" s="5"/>
    </row>
    <row r="215" spans="1:10" s="6" customFormat="1" ht="21" x14ac:dyDescent="0.25">
      <c r="A215" s="7"/>
      <c r="B215" s="7"/>
      <c r="C215" s="8"/>
      <c r="D215" s="8"/>
      <c r="E215" s="8"/>
      <c r="F215" s="8"/>
      <c r="G215" s="153"/>
      <c r="H215" s="10"/>
      <c r="I215" s="5"/>
      <c r="J215" s="5"/>
    </row>
    <row r="216" spans="1:10" s="6" customFormat="1" ht="21" x14ac:dyDescent="0.25">
      <c r="A216" s="7"/>
      <c r="B216" s="7"/>
      <c r="C216" s="8"/>
      <c r="D216" s="8"/>
      <c r="E216" s="8"/>
      <c r="F216" s="8"/>
      <c r="G216" s="151"/>
      <c r="H216" s="10"/>
      <c r="I216" s="5"/>
      <c r="J216" s="5"/>
    </row>
    <row r="217" spans="1:10" s="6" customFormat="1" ht="21" x14ac:dyDescent="0.25">
      <c r="A217" s="7"/>
      <c r="B217" s="7"/>
      <c r="C217" s="8"/>
      <c r="D217" s="8"/>
      <c r="E217" s="8"/>
      <c r="F217" s="8"/>
      <c r="G217" s="152"/>
      <c r="H217" s="10"/>
      <c r="I217" s="5"/>
      <c r="J217" s="5"/>
    </row>
    <row r="218" spans="1:10" s="6" customFormat="1" ht="21" x14ac:dyDescent="0.25">
      <c r="A218" s="7"/>
      <c r="B218" s="7"/>
      <c r="C218" s="8"/>
      <c r="D218" s="8"/>
      <c r="E218" s="8"/>
      <c r="F218" s="8"/>
      <c r="G218" s="154"/>
      <c r="H218" s="10"/>
      <c r="I218" s="5"/>
      <c r="J218" s="5"/>
    </row>
    <row r="219" spans="1:10" s="6" customFormat="1" x14ac:dyDescent="0.15">
      <c r="A219" s="7"/>
      <c r="B219" s="7"/>
      <c r="C219" s="8"/>
      <c r="D219" s="8"/>
      <c r="E219" s="8"/>
      <c r="F219" s="8"/>
      <c r="G219" s="7"/>
      <c r="H219" s="10"/>
      <c r="I219" s="5"/>
      <c r="J219" s="5"/>
    </row>
    <row r="220" spans="1:10" s="6" customFormat="1" x14ac:dyDescent="0.15">
      <c r="A220" s="7"/>
      <c r="B220" s="7"/>
      <c r="C220" s="8"/>
      <c r="D220" s="8"/>
      <c r="E220" s="8"/>
      <c r="F220" s="8"/>
      <c r="G220" s="7"/>
      <c r="H220" s="10"/>
      <c r="I220" s="5"/>
      <c r="J220" s="5"/>
    </row>
    <row r="221" spans="1:10" s="6" customFormat="1" x14ac:dyDescent="0.15">
      <c r="A221" s="7"/>
      <c r="B221" s="7"/>
      <c r="C221" s="8"/>
      <c r="D221" s="8"/>
      <c r="E221" s="8"/>
      <c r="F221" s="8"/>
      <c r="G221" s="7"/>
      <c r="H221" s="10"/>
      <c r="I221" s="5"/>
      <c r="J221" s="5"/>
    </row>
    <row r="222" spans="1:10" s="6" customFormat="1" x14ac:dyDescent="0.15">
      <c r="A222" s="7"/>
      <c r="B222" s="7"/>
      <c r="C222" s="8"/>
      <c r="D222" s="8"/>
      <c r="E222" s="8"/>
      <c r="F222" s="8"/>
      <c r="G222" s="7"/>
      <c r="H222" s="10"/>
      <c r="I222" s="5"/>
      <c r="J222" s="5"/>
    </row>
    <row r="223" spans="1:10" s="6" customFormat="1" x14ac:dyDescent="0.15">
      <c r="A223" s="7"/>
      <c r="B223" s="7"/>
      <c r="C223" s="8"/>
      <c r="D223" s="8"/>
      <c r="E223" s="8"/>
      <c r="F223" s="8"/>
      <c r="G223" s="7"/>
      <c r="H223" s="10"/>
      <c r="I223" s="5"/>
      <c r="J223" s="5"/>
    </row>
    <row r="224" spans="1:10" s="6" customFormat="1" x14ac:dyDescent="0.15">
      <c r="A224" s="7"/>
      <c r="B224" s="7"/>
      <c r="C224" s="8"/>
      <c r="D224" s="8"/>
      <c r="E224" s="8"/>
      <c r="F224" s="8"/>
      <c r="G224" s="7"/>
      <c r="H224" s="10"/>
      <c r="I224" s="5"/>
      <c r="J224" s="5"/>
    </row>
    <row r="225" spans="1:10" s="6" customFormat="1" x14ac:dyDescent="0.15">
      <c r="A225" s="7"/>
      <c r="B225" s="7"/>
      <c r="C225" s="8"/>
      <c r="D225" s="8"/>
      <c r="E225" s="8"/>
      <c r="F225" s="8"/>
      <c r="G225" s="7"/>
      <c r="H225" s="10"/>
      <c r="I225" s="5"/>
      <c r="J225" s="5"/>
    </row>
    <row r="226" spans="1:10" s="6" customFormat="1" x14ac:dyDescent="0.15">
      <c r="A226" s="7"/>
      <c r="B226" s="7"/>
      <c r="C226" s="8"/>
      <c r="D226" s="8"/>
      <c r="E226" s="8"/>
      <c r="F226" s="8"/>
      <c r="G226" s="7"/>
      <c r="H226" s="10"/>
      <c r="I226" s="5"/>
      <c r="J226" s="5"/>
    </row>
    <row r="227" spans="1:10" s="6" customFormat="1" x14ac:dyDescent="0.15">
      <c r="A227" s="7"/>
      <c r="B227" s="7"/>
      <c r="C227" s="8"/>
      <c r="D227" s="8"/>
      <c r="E227" s="8"/>
      <c r="F227" s="8"/>
      <c r="G227" s="7"/>
      <c r="H227" s="10"/>
      <c r="I227" s="5"/>
      <c r="J227" s="5"/>
    </row>
    <row r="228" spans="1:10" s="6" customFormat="1" x14ac:dyDescent="0.15">
      <c r="A228" s="7"/>
      <c r="B228" s="7"/>
      <c r="C228" s="8"/>
      <c r="D228" s="8"/>
      <c r="E228" s="8"/>
      <c r="F228" s="8"/>
      <c r="G228" s="7"/>
      <c r="H228" s="10"/>
      <c r="I228" s="5"/>
      <c r="J228" s="5"/>
    </row>
    <row r="229" spans="1:10" s="6" customFormat="1" x14ac:dyDescent="0.15">
      <c r="A229" s="7"/>
      <c r="B229" s="7"/>
      <c r="C229" s="8"/>
      <c r="D229" s="8"/>
      <c r="E229" s="8"/>
      <c r="F229" s="8"/>
      <c r="G229" s="7"/>
      <c r="H229" s="10"/>
      <c r="I229" s="5"/>
      <c r="J229" s="5"/>
    </row>
    <row r="230" spans="1:10" s="6" customFormat="1" x14ac:dyDescent="0.15">
      <c r="A230" s="7"/>
      <c r="B230" s="7"/>
      <c r="C230" s="8"/>
      <c r="D230" s="8"/>
      <c r="E230" s="8"/>
      <c r="F230" s="8"/>
      <c r="G230" s="7"/>
      <c r="H230" s="10"/>
      <c r="I230" s="5"/>
      <c r="J230" s="5"/>
    </row>
    <row r="231" spans="1:10" s="6" customFormat="1" x14ac:dyDescent="0.15">
      <c r="A231" s="7"/>
      <c r="B231" s="7"/>
      <c r="C231" s="8"/>
      <c r="D231" s="8"/>
      <c r="E231" s="8"/>
      <c r="F231" s="8"/>
      <c r="G231" s="7"/>
      <c r="H231" s="10"/>
      <c r="I231" s="5"/>
      <c r="J231" s="5"/>
    </row>
    <row r="232" spans="1:10" s="6" customFormat="1" x14ac:dyDescent="0.15">
      <c r="A232" s="7"/>
      <c r="B232" s="7"/>
      <c r="C232" s="8"/>
      <c r="D232" s="8"/>
      <c r="E232" s="8"/>
      <c r="F232" s="8"/>
      <c r="G232" s="7"/>
      <c r="H232" s="10"/>
      <c r="I232" s="5"/>
      <c r="J232" s="5"/>
    </row>
    <row r="233" spans="1:10" s="6" customFormat="1" x14ac:dyDescent="0.15">
      <c r="A233" s="7"/>
      <c r="B233" s="7"/>
      <c r="C233" s="8"/>
      <c r="D233" s="8"/>
      <c r="E233" s="8"/>
      <c r="F233" s="8"/>
      <c r="G233" s="7"/>
      <c r="H233" s="10"/>
      <c r="I233" s="5"/>
      <c r="J233" s="5"/>
    </row>
    <row r="234" spans="1:10" s="6" customFormat="1" x14ac:dyDescent="0.15">
      <c r="A234" s="7"/>
      <c r="B234" s="7"/>
      <c r="C234" s="8"/>
      <c r="D234" s="8"/>
      <c r="E234" s="8"/>
      <c r="F234" s="8"/>
      <c r="G234" s="7"/>
      <c r="H234" s="10"/>
      <c r="I234" s="5"/>
      <c r="J234" s="5"/>
    </row>
    <row r="235" spans="1:10" s="6" customFormat="1" x14ac:dyDescent="0.15">
      <c r="A235" s="7"/>
      <c r="B235" s="7"/>
      <c r="C235" s="8"/>
      <c r="D235" s="8"/>
      <c r="E235" s="8"/>
      <c r="F235" s="8"/>
      <c r="G235" s="7"/>
      <c r="H235" s="10"/>
      <c r="I235" s="5"/>
      <c r="J235" s="5"/>
    </row>
    <row r="236" spans="1:10" s="6" customFormat="1" x14ac:dyDescent="0.15">
      <c r="A236" s="7"/>
      <c r="B236" s="7"/>
      <c r="C236" s="8"/>
      <c r="D236" s="8"/>
      <c r="E236" s="8"/>
      <c r="F236" s="8"/>
      <c r="G236" s="7"/>
      <c r="H236" s="10"/>
      <c r="I236" s="5"/>
      <c r="J236" s="5"/>
    </row>
    <row r="237" spans="1:10" s="6" customFormat="1" x14ac:dyDescent="0.15">
      <c r="A237" s="7"/>
      <c r="B237" s="7"/>
      <c r="C237" s="8"/>
      <c r="D237" s="8"/>
      <c r="E237" s="8"/>
      <c r="F237" s="8"/>
      <c r="G237" s="7"/>
      <c r="H237" s="10"/>
      <c r="I237" s="5"/>
      <c r="J237" s="5"/>
    </row>
    <row r="238" spans="1:10" s="6" customFormat="1" x14ac:dyDescent="0.15">
      <c r="A238" s="7"/>
      <c r="B238" s="7"/>
      <c r="C238" s="8"/>
      <c r="D238" s="8"/>
      <c r="E238" s="8"/>
      <c r="F238" s="8"/>
      <c r="G238" s="7"/>
      <c r="H238" s="10"/>
      <c r="I238" s="5"/>
      <c r="J238" s="5"/>
    </row>
  </sheetData>
  <mergeCells count="7">
    <mergeCell ref="A1:G1"/>
    <mergeCell ref="A2:G2"/>
    <mergeCell ref="A4:A5"/>
    <mergeCell ref="B4:B5"/>
    <mergeCell ref="C4:D4"/>
    <mergeCell ref="E4:F4"/>
    <mergeCell ref="G4:G5"/>
  </mergeCells>
  <pageMargins left="0.39370078740157483" right="0.39370078740157483" top="0.19685039370078741" bottom="0.19685039370078741" header="0.39370078740157483" footer="0.39370078740157483"/>
  <pageSetup paperSize="10000" scale="56" fitToHeight="0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PAD OKTOBER</vt:lpstr>
      <vt:lpstr>'DATA PAD OKTOBER'!Print_Area</vt:lpstr>
      <vt:lpstr>'DATA PAD OKTOBER'!Print_Titles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2026-10-30T00:42:10Z</dcterms:created>
  <dcterms:modified xsi:type="dcterms:W3CDTF">2026-10-30T00:42:33Z</dcterms:modified>
</cp:coreProperties>
</file>